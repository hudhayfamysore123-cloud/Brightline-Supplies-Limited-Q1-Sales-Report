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abbasraza/Downloads/stuff to do with my identity/Portfolio/Q1 Brightline_Supplies_Limited/"/>
    </mc:Choice>
  </mc:AlternateContent>
  <xr:revisionPtr revIDLastSave="0" documentId="13_ncr:1_{32B231CE-1FAC-014B-987B-EFFA0E0A422E}" xr6:coauthVersionLast="47" xr6:coauthVersionMax="47" xr10:uidLastSave="{00000000-0000-0000-0000-000000000000}"/>
  <bookViews>
    <workbookView xWindow="0" yWindow="680" windowWidth="27040" windowHeight="16880" activeTab="1" xr2:uid="{00000000-000D-0000-FFFF-FFFF00000000}"/>
  </bookViews>
  <sheets>
    <sheet name="Brief" sheetId="2" r:id="rId1"/>
    <sheet name="Q1 Sales Export" sheetId="7" r:id="rId2"/>
    <sheet name="Cleaned_data_Q1" sheetId="8" r:id="rId3"/>
    <sheet name="Analysis" sheetId="10" r:id="rId4"/>
    <sheet name="Dashboard" sheetId="11" r:id="rId5"/>
    <sheet name="Customers_With_No_Units" sheetId="9" r:id="rId6"/>
    <sheet name="Regional Budget" sheetId="4" r:id="rId7"/>
    <sheet name="Category Budget" sheetId="5" r:id="rId8"/>
    <sheet name="Approved Discounts" sheetId="6" r:id="rId9"/>
  </sheets>
  <externalReferences>
    <externalReference r:id="rId10"/>
  </externalReferences>
  <definedNames>
    <definedName name="tbl_Discounts">#REF!</definedName>
    <definedName name="tbl_Sales2">[1]!Table2[#All]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0" l="1"/>
  <c r="G10" i="10"/>
  <c r="G11" i="10"/>
  <c r="G12" i="10"/>
  <c r="G13" i="10"/>
  <c r="G14" i="10"/>
  <c r="D11" i="10"/>
  <c r="D12" i="10"/>
  <c r="D14" i="10"/>
  <c r="D13" i="10"/>
  <c r="D10" i="10"/>
  <c r="C11" i="10"/>
  <c r="C12" i="10"/>
  <c r="E12" i="10" s="1"/>
  <c r="C14" i="10"/>
  <c r="C13" i="10"/>
  <c r="C10" i="10"/>
  <c r="B11" i="10"/>
  <c r="B12" i="10"/>
  <c r="B14" i="10"/>
  <c r="B13" i="10"/>
  <c r="B10" i="10"/>
  <c r="D148" i="8"/>
  <c r="L146" i="8"/>
  <c r="H146" i="8"/>
  <c r="H5" i="10"/>
  <c r="H4" i="10"/>
  <c r="H2" i="10"/>
  <c r="H3" i="10"/>
  <c r="G5" i="10"/>
  <c r="G4" i="10"/>
  <c r="G2" i="10"/>
  <c r="G3" i="10"/>
  <c r="D5" i="10"/>
  <c r="D4" i="10"/>
  <c r="D2" i="10"/>
  <c r="D3" i="10"/>
  <c r="L2" i="8"/>
  <c r="L3" i="8"/>
  <c r="L4" i="8"/>
  <c r="L5" i="8"/>
  <c r="L6" i="8"/>
  <c r="L7" i="8"/>
  <c r="L8" i="8"/>
  <c r="L9" i="8"/>
  <c r="L10" i="8"/>
  <c r="M10" i="8" s="1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M25" i="8" s="1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M37" i="8" s="1"/>
  <c r="K38" i="8"/>
  <c r="K39" i="8"/>
  <c r="K40" i="8"/>
  <c r="K41" i="8"/>
  <c r="K42" i="8"/>
  <c r="K43" i="8"/>
  <c r="K44" i="8"/>
  <c r="K45" i="8"/>
  <c r="K46" i="8"/>
  <c r="K47" i="8"/>
  <c r="K48" i="8"/>
  <c r="K49" i="8"/>
  <c r="M49" i="8" s="1"/>
  <c r="K50" i="8"/>
  <c r="K51" i="8"/>
  <c r="K52" i="8"/>
  <c r="K53" i="8"/>
  <c r="K54" i="8"/>
  <c r="K55" i="8"/>
  <c r="K56" i="8"/>
  <c r="K57" i="8"/>
  <c r="K58" i="8"/>
  <c r="K59" i="8"/>
  <c r="K60" i="8"/>
  <c r="K61" i="8"/>
  <c r="M61" i="8" s="1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G6" i="10" l="1"/>
  <c r="D6" i="10"/>
  <c r="H6" i="10"/>
  <c r="G7" i="10" s="1"/>
  <c r="E10" i="10"/>
  <c r="C15" i="10"/>
  <c r="F13" i="10" s="1"/>
  <c r="E14" i="10"/>
  <c r="E13" i="10"/>
  <c r="E11" i="10"/>
  <c r="I5" i="10"/>
  <c r="I3" i="10"/>
  <c r="I2" i="10"/>
  <c r="I4" i="10"/>
  <c r="M131" i="8"/>
  <c r="M107" i="8"/>
  <c r="M59" i="8"/>
  <c r="M11" i="8"/>
  <c r="M22" i="8"/>
  <c r="M81" i="8"/>
  <c r="M21" i="8"/>
  <c r="M116" i="8"/>
  <c r="M8" i="8"/>
  <c r="M70" i="8"/>
  <c r="M129" i="8"/>
  <c r="M92" i="8"/>
  <c r="M139" i="8"/>
  <c r="M127" i="8"/>
  <c r="M115" i="8"/>
  <c r="M103" i="8"/>
  <c r="M91" i="8"/>
  <c r="M79" i="8"/>
  <c r="M67" i="8"/>
  <c r="M55" i="8"/>
  <c r="M43" i="8"/>
  <c r="M31" i="8"/>
  <c r="M19" i="8"/>
  <c r="M7" i="8"/>
  <c r="M138" i="8"/>
  <c r="M126" i="8"/>
  <c r="M114" i="8"/>
  <c r="M102" i="8"/>
  <c r="M90" i="8"/>
  <c r="M78" i="8"/>
  <c r="M66" i="8"/>
  <c r="M54" i="8"/>
  <c r="M42" i="8"/>
  <c r="M30" i="8"/>
  <c r="M18" i="8"/>
  <c r="M6" i="8"/>
  <c r="C2" i="10" s="1"/>
  <c r="M130" i="8"/>
  <c r="M46" i="8"/>
  <c r="M141" i="8"/>
  <c r="M57" i="8"/>
  <c r="M128" i="8"/>
  <c r="M44" i="8"/>
  <c r="M119" i="8"/>
  <c r="M83" i="8"/>
  <c r="M47" i="8"/>
  <c r="M35" i="8"/>
  <c r="M34" i="8"/>
  <c r="M105" i="8"/>
  <c r="M45" i="8"/>
  <c r="M104" i="8"/>
  <c r="M56" i="8"/>
  <c r="M20" i="8"/>
  <c r="M17" i="8"/>
  <c r="M124" i="8"/>
  <c r="M112" i="8"/>
  <c r="M100" i="8"/>
  <c r="M88" i="8"/>
  <c r="M76" i="8"/>
  <c r="M64" i="8"/>
  <c r="M52" i="8"/>
  <c r="M40" i="8"/>
  <c r="M28" i="8"/>
  <c r="M16" i="8"/>
  <c r="M4" i="8"/>
  <c r="M143" i="8"/>
  <c r="M95" i="8"/>
  <c r="M71" i="8"/>
  <c r="M23" i="8"/>
  <c r="M118" i="8"/>
  <c r="M58" i="8"/>
  <c r="M117" i="8"/>
  <c r="M33" i="8"/>
  <c r="M53" i="8"/>
  <c r="M135" i="8"/>
  <c r="M123" i="8"/>
  <c r="M111" i="8"/>
  <c r="M99" i="8"/>
  <c r="M87" i="8"/>
  <c r="M75" i="8"/>
  <c r="M63" i="8"/>
  <c r="M51" i="8"/>
  <c r="M39" i="8"/>
  <c r="M27" i="8"/>
  <c r="M15" i="8"/>
  <c r="M3" i="8"/>
  <c r="M94" i="8"/>
  <c r="M93" i="8"/>
  <c r="M68" i="8"/>
  <c r="M137" i="8"/>
  <c r="M101" i="8"/>
  <c r="M65" i="8"/>
  <c r="M5" i="8"/>
  <c r="M134" i="8"/>
  <c r="M122" i="8"/>
  <c r="M110" i="8"/>
  <c r="M98" i="8"/>
  <c r="M86" i="8"/>
  <c r="M74" i="8"/>
  <c r="M62" i="8"/>
  <c r="M50" i="8"/>
  <c r="M38" i="8"/>
  <c r="M26" i="8"/>
  <c r="B3" i="10"/>
  <c r="B5" i="10"/>
  <c r="M142" i="8"/>
  <c r="M106" i="8"/>
  <c r="M82" i="8"/>
  <c r="M140" i="8"/>
  <c r="M80" i="8"/>
  <c r="M113" i="8"/>
  <c r="M29" i="8"/>
  <c r="M145" i="8"/>
  <c r="M133" i="8"/>
  <c r="M121" i="8"/>
  <c r="M109" i="8"/>
  <c r="M97" i="8"/>
  <c r="M85" i="8"/>
  <c r="M73" i="8"/>
  <c r="M13" i="8"/>
  <c r="M69" i="8"/>
  <c r="M9" i="8"/>
  <c r="M32" i="8"/>
  <c r="M125" i="8"/>
  <c r="M89" i="8"/>
  <c r="M77" i="8"/>
  <c r="M41" i="8"/>
  <c r="M136" i="8"/>
  <c r="M144" i="8"/>
  <c r="M132" i="8"/>
  <c r="M120" i="8"/>
  <c r="M108" i="8"/>
  <c r="M96" i="8"/>
  <c r="M84" i="8"/>
  <c r="M72" i="8"/>
  <c r="M60" i="8"/>
  <c r="M48" i="8"/>
  <c r="M36" i="8"/>
  <c r="M24" i="8"/>
  <c r="B4" i="10"/>
  <c r="M12" i="8"/>
  <c r="M14" i="8"/>
  <c r="C3" i="10" s="1"/>
  <c r="B2" i="10"/>
  <c r="M2" i="8"/>
  <c r="F11" i="10" l="1"/>
  <c r="F12" i="10"/>
  <c r="F10" i="10"/>
  <c r="F14" i="10"/>
  <c r="F3" i="10"/>
  <c r="K3" i="10"/>
  <c r="F2" i="10"/>
  <c r="K2" i="10"/>
  <c r="E2" i="10"/>
  <c r="E3" i="10"/>
  <c r="C4" i="10"/>
  <c r="C5" i="10"/>
  <c r="M146" i="8"/>
  <c r="F5" i="10" l="1"/>
  <c r="K5" i="10"/>
  <c r="F4" i="10"/>
  <c r="K4" i="10"/>
  <c r="E4" i="10"/>
  <c r="E5" i="10"/>
  <c r="C6" i="10"/>
  <c r="F6" i="10" l="1"/>
  <c r="L4" i="10" s="1"/>
  <c r="J4" i="10"/>
  <c r="C7" i="10"/>
  <c r="J2" i="10"/>
  <c r="J3" i="10"/>
  <c r="J5" i="10"/>
  <c r="L5" i="10" l="1"/>
  <c r="L2" i="10"/>
  <c r="L3" i="10"/>
</calcChain>
</file>

<file path=xl/sharedStrings.xml><?xml version="1.0" encoding="utf-8"?>
<sst xmlns="http://schemas.openxmlformats.org/spreadsheetml/2006/main" count="2413" uniqueCount="368">
  <si>
    <t>Brightline Supplies Ltd - Analyst Brief</t>
  </si>
  <si>
    <t>From: Marcus Ellery, Sales Director</t>
  </si>
  <si>
    <t>To: Commercial Analyst</t>
  </si>
  <si>
    <t>We sell office supplies to businesses across the UK. Q4 revenue came in</t>
  </si>
  <si>
    <t>under budget and nobody can tell me why. I have asked IT for a data export</t>
  </si>
  <si>
    <t>from Orbit, which is attached.</t>
  </si>
  <si>
    <t>I need to know:</t>
  </si>
  <si>
    <t xml:space="preserve">  1. Which region generated the most revenue in Q4, and which underperformed?</t>
  </si>
  <si>
    <t xml:space="preserve">  2. Which product category drives the most revenue?</t>
  </si>
  <si>
    <t xml:space="preserve">  3. Is the shortfall a volume problem or a pricing/mix problem?</t>
  </si>
  <si>
    <t>Be warned - the export is messy. Nobody has ever tidied it.</t>
  </si>
  <si>
    <t>Note: the export gives Units and Unit Price. There is no revenue column.</t>
  </si>
  <si>
    <t>You will need to create one.</t>
  </si>
  <si>
    <t>Brightline Supplies Ltd - Sales Export</t>
  </si>
  <si>
    <t>Order ID</t>
  </si>
  <si>
    <t>Order Date</t>
  </si>
  <si>
    <t>Customer Name</t>
  </si>
  <si>
    <t>Region</t>
  </si>
  <si>
    <t>Sales Rep</t>
  </si>
  <si>
    <t>Product</t>
  </si>
  <si>
    <t>Category</t>
  </si>
  <si>
    <t>Units</t>
  </si>
  <si>
    <t>Unit Price</t>
  </si>
  <si>
    <t>Payment Terms</t>
  </si>
  <si>
    <t>BS-1173</t>
  </si>
  <si>
    <t>Lyndon Architects</t>
  </si>
  <si>
    <t xml:space="preserve">North </t>
  </si>
  <si>
    <t>Priya Nair</t>
  </si>
  <si>
    <t>Toner Cartridge - Colour</t>
  </si>
  <si>
    <t>Print</t>
  </si>
  <si>
    <t>£94.75</t>
  </si>
  <si>
    <t>Net 30</t>
  </si>
  <si>
    <t>Marlow Accountancy</t>
  </si>
  <si>
    <t>midlands</t>
  </si>
  <si>
    <t>Tom Reilly</t>
  </si>
  <si>
    <t>Toner Cartridge - Black</t>
  </si>
  <si>
    <t>30 Days</t>
  </si>
  <si>
    <t>MIDLANDS</t>
  </si>
  <si>
    <t>Aisha Karim</t>
  </si>
  <si>
    <t>Whiteboard 1200mm</t>
  </si>
  <si>
    <t>Furniture</t>
  </si>
  <si>
    <t>Oakfield Dental</t>
  </si>
  <si>
    <t>Scotland</t>
  </si>
  <si>
    <t>Ellie Cross</t>
  </si>
  <si>
    <t>30 days</t>
  </si>
  <si>
    <t>BS-1085</t>
  </si>
  <si>
    <t>Halston Group</t>
  </si>
  <si>
    <t>North</t>
  </si>
  <si>
    <t>Recycling Bin 60L</t>
  </si>
  <si>
    <t>Janitorial</t>
  </si>
  <si>
    <t>Verity Print</t>
  </si>
  <si>
    <t>Midlands</t>
  </si>
  <si>
    <t xml:space="preserve">  Priya Nair </t>
  </si>
  <si>
    <t>Northgate Facilities</t>
  </si>
  <si>
    <t>Hand Sanitiser 5L</t>
  </si>
  <si>
    <t>14 days</t>
  </si>
  <si>
    <t xml:space="preserve">Verity Print  </t>
  </si>
  <si>
    <t>Height-Adjustable Desk</t>
  </si>
  <si>
    <t>£340.00</t>
  </si>
  <si>
    <t>Wharton Care Homes</t>
  </si>
  <si>
    <t>Kestrel Logistics</t>
  </si>
  <si>
    <t xml:space="preserve">  Tom Reilly </t>
  </si>
  <si>
    <t>BS-1062</t>
  </si>
  <si>
    <t>South</t>
  </si>
  <si>
    <t>south</t>
  </si>
  <si>
    <t>Dan Osei</t>
  </si>
  <si>
    <t>BS-1124</t>
  </si>
  <si>
    <t xml:space="preserve">Scotland </t>
  </si>
  <si>
    <t>Lever Arch Files (Pack 10)</t>
  </si>
  <si>
    <t>Stationery</t>
  </si>
  <si>
    <t>Redcliffe Legal</t>
  </si>
  <si>
    <t>n/a</t>
  </si>
  <si>
    <t xml:space="preserve">Kestrel Logistics  </t>
  </si>
  <si>
    <t xml:space="preserve"> South</t>
  </si>
  <si>
    <t>£44.00</t>
  </si>
  <si>
    <t>BS-1139</t>
  </si>
  <si>
    <t>60 days</t>
  </si>
  <si>
    <t>17</t>
  </si>
  <si>
    <t>Fenwick Travel</t>
  </si>
  <si>
    <t xml:space="preserve"> North</t>
  </si>
  <si>
    <t xml:space="preserve">  Dan Osei </t>
  </si>
  <si>
    <t>£18.40</t>
  </si>
  <si>
    <t>BS-1145</t>
  </si>
  <si>
    <t>Ashby Engineering</t>
  </si>
  <si>
    <t xml:space="preserve">Sandbrook Academy  </t>
  </si>
  <si>
    <t xml:space="preserve">  Ellie Cross </t>
  </si>
  <si>
    <t>A4 Copier Paper (Box)</t>
  </si>
  <si>
    <t>Paper</t>
  </si>
  <si>
    <t>scotland</t>
  </si>
  <si>
    <t>Pinnacle Recruitment</t>
  </si>
  <si>
    <t xml:space="preserve">Midlands </t>
  </si>
  <si>
    <t>BS-1152</t>
  </si>
  <si>
    <t>Trentham Motors</t>
  </si>
  <si>
    <t>£76.50</t>
  </si>
  <si>
    <t>BS-1048</t>
  </si>
  <si>
    <t xml:space="preserve">Bramley &amp; Co  </t>
  </si>
  <si>
    <t>Ergonomic Desk Chair</t>
  </si>
  <si>
    <t xml:space="preserve">Fenwick Travel  </t>
  </si>
  <si>
    <t>Ballpoint Pens (Pack 50)</t>
  </si>
  <si>
    <t>£24.50</t>
  </si>
  <si>
    <t>28</t>
  </si>
  <si>
    <t>BS-1120</t>
  </si>
  <si>
    <t>NORTH</t>
  </si>
  <si>
    <t>£12.25</t>
  </si>
  <si>
    <t>25</t>
  </si>
  <si>
    <t xml:space="preserve">Marlow Accountancy  </t>
  </si>
  <si>
    <t>SOUTH</t>
  </si>
  <si>
    <t>BS-1009</t>
  </si>
  <si>
    <t>north</t>
  </si>
  <si>
    <t>BS-1174</t>
  </si>
  <si>
    <t xml:space="preserve">Oakfield Dental  </t>
  </si>
  <si>
    <t>£189.00</t>
  </si>
  <si>
    <t>Sandbrook Academy</t>
  </si>
  <si>
    <t>31</t>
  </si>
  <si>
    <t>BS-1046</t>
  </si>
  <si>
    <t>14</t>
  </si>
  <si>
    <t>BS-1016</t>
  </si>
  <si>
    <t>BS-1035</t>
  </si>
  <si>
    <t>BS-1155</t>
  </si>
  <si>
    <t>BS-1102</t>
  </si>
  <si>
    <t>BS-1076</t>
  </si>
  <si>
    <t xml:space="preserve">Northgate Facilities  </t>
  </si>
  <si>
    <t>37</t>
  </si>
  <si>
    <t>BS-1066</t>
  </si>
  <si>
    <t>BS-1065</t>
  </si>
  <si>
    <t>BS-1099</t>
  </si>
  <si>
    <t>£21.99</t>
  </si>
  <si>
    <t>BS-1012</t>
  </si>
  <si>
    <t>BS-1109</t>
  </si>
  <si>
    <t>Bramley &amp; Co</t>
  </si>
  <si>
    <t>4</t>
  </si>
  <si>
    <t>BS-1156</t>
  </si>
  <si>
    <t xml:space="preserve">Lyndon Architects  </t>
  </si>
  <si>
    <t>BS-1162</t>
  </si>
  <si>
    <t>BS-1067</t>
  </si>
  <si>
    <t>BS-1159</t>
  </si>
  <si>
    <t>BS-1051</t>
  </si>
  <si>
    <t xml:space="preserve">Wharton Care Homes  </t>
  </si>
  <si>
    <t>£68.00</t>
  </si>
  <si>
    <t>BS-1011</t>
  </si>
  <si>
    <t>BS-1160</t>
  </si>
  <si>
    <t xml:space="preserve">Redcliffe Legal  </t>
  </si>
  <si>
    <t>BS-1106</t>
  </si>
  <si>
    <t xml:space="preserve">  Aisha Karim </t>
  </si>
  <si>
    <t>BS-1073</t>
  </si>
  <si>
    <t>BS-1103</t>
  </si>
  <si>
    <t>BS-1074</t>
  </si>
  <si>
    <t>BS-1058</t>
  </si>
  <si>
    <t>BS-1023</t>
  </si>
  <si>
    <t xml:space="preserve">Halston Group  </t>
  </si>
  <si>
    <t>BS-1146</t>
  </si>
  <si>
    <t>Q4 Budget Revenue</t>
  </si>
  <si>
    <t>Q4 Budget Units</t>
  </si>
  <si>
    <t>Q1 Budget Revenue</t>
  </si>
  <si>
    <t>Q1 Budget Units</t>
  </si>
  <si>
    <t>Discount %</t>
  </si>
  <si>
    <t>BS-1901</t>
  </si>
  <si>
    <t>BS-1902</t>
  </si>
  <si>
    <t>BS-2003</t>
  </si>
  <si>
    <t>BS-2005</t>
  </si>
  <si>
    <t>BS-2007</t>
  </si>
  <si>
    <t>BS-2008</t>
  </si>
  <si>
    <t>BS-2011</t>
  </si>
  <si>
    <t>BS-2012</t>
  </si>
  <si>
    <t>BS-2019</t>
  </si>
  <si>
    <t>BS-2026</t>
  </si>
  <si>
    <t>BS-2028</t>
  </si>
  <si>
    <t>BS-2035</t>
  </si>
  <si>
    <t>BS-2047</t>
  </si>
  <si>
    <t>BS-2052</t>
  </si>
  <si>
    <t>BS-2055</t>
  </si>
  <si>
    <t>BS-2065</t>
  </si>
  <si>
    <t>BS-2066</t>
  </si>
  <si>
    <t>BS-2073</t>
  </si>
  <si>
    <t>BS-2076</t>
  </si>
  <si>
    <t>BS-2077</t>
  </si>
  <si>
    <t>BS-2086</t>
  </si>
  <si>
    <t>BS-2089</t>
  </si>
  <si>
    <t>BS-2095</t>
  </si>
  <si>
    <t>BS-2098</t>
  </si>
  <si>
    <t>BS-2101</t>
  </si>
  <si>
    <t>BS-2107</t>
  </si>
  <si>
    <t>BS-2109</t>
  </si>
  <si>
    <t>BS-2113</t>
  </si>
  <si>
    <t>BS-2126</t>
  </si>
  <si>
    <t>BS-2127</t>
  </si>
  <si>
    <t>BS-2139</t>
  </si>
  <si>
    <t>BS-2142</t>
  </si>
  <si>
    <t>BS-2146</t>
  </si>
  <si>
    <t>BS-2148</t>
  </si>
  <si>
    <t>BS-2149</t>
  </si>
  <si>
    <t>BS-2901</t>
  </si>
  <si>
    <t>BS-2902</t>
  </si>
  <si>
    <t>BS-2903</t>
  </si>
  <si>
    <t>Generated from Orbit ERP | Q1 2026 | Do not edit source</t>
  </si>
  <si>
    <t>BS-2045</t>
  </si>
  <si>
    <t>BS-2124</t>
  </si>
  <si>
    <t>BS-2025</t>
  </si>
  <si>
    <t>BS-2001</t>
  </si>
  <si>
    <t>14/03/2026</t>
  </si>
  <si>
    <t>BS-2136</t>
  </si>
  <si>
    <t>BS-2110</t>
  </si>
  <si>
    <t>BS-2138</t>
  </si>
  <si>
    <t>15</t>
  </si>
  <si>
    <t>BS-2084</t>
  </si>
  <si>
    <t>BS-2013</t>
  </si>
  <si>
    <t>BS-2053</t>
  </si>
  <si>
    <t>22</t>
  </si>
  <si>
    <t>BS-2039</t>
  </si>
  <si>
    <t>BS-2128</t>
  </si>
  <si>
    <t>19/02/2026</t>
  </si>
  <si>
    <t>13</t>
  </si>
  <si>
    <t>BS-2034</t>
  </si>
  <si>
    <t>BS-2049</t>
  </si>
  <si>
    <t>BS-2125</t>
  </si>
  <si>
    <t>10/01/2026</t>
  </si>
  <si>
    <t>BS-2122</t>
  </si>
  <si>
    <t>BS-2097</t>
  </si>
  <si>
    <t>BS-2037</t>
  </si>
  <si>
    <t>BS-2070</t>
  </si>
  <si>
    <t>BS-2002</t>
  </si>
  <si>
    <t>24/03/2026</t>
  </si>
  <si>
    <t>BS-2080</t>
  </si>
  <si>
    <t>BS-2064</t>
  </si>
  <si>
    <t>BS-2114</t>
  </si>
  <si>
    <t>28/02/2026</t>
  </si>
  <si>
    <t>21/03/2026</t>
  </si>
  <si>
    <t>BS-2123</t>
  </si>
  <si>
    <t>13/03/2026</t>
  </si>
  <si>
    <t>29</t>
  </si>
  <si>
    <t>BS-2147</t>
  </si>
  <si>
    <t>BS-2022</t>
  </si>
  <si>
    <t>BS-2043</t>
  </si>
  <si>
    <t>BS-2083</t>
  </si>
  <si>
    <t>1</t>
  </si>
  <si>
    <t>BS-2131</t>
  </si>
  <si>
    <t>09/03/2026</t>
  </si>
  <si>
    <t>BS-2141</t>
  </si>
  <si>
    <t>BS-2010</t>
  </si>
  <si>
    <t>BS-2071</t>
  </si>
  <si>
    <t>BS-2018</t>
  </si>
  <si>
    <t>BS-2069</t>
  </si>
  <si>
    <t>BS-2006</t>
  </si>
  <si>
    <t>BS-2030</t>
  </si>
  <si>
    <t>BS-2082</t>
  </si>
  <si>
    <t>BS-2096</t>
  </si>
  <si>
    <t>BS-2087</t>
  </si>
  <si>
    <t>29/01/2026</t>
  </si>
  <si>
    <t>BS-2111</t>
  </si>
  <si>
    <t>BS-2063</t>
  </si>
  <si>
    <t>BS-2079</t>
  </si>
  <si>
    <t>BS-2046</t>
  </si>
  <si>
    <t>BS-2074</t>
  </si>
  <si>
    <t>BS-2054</t>
  </si>
  <si>
    <t>04/01/2026</t>
  </si>
  <si>
    <t>BS-2072</t>
  </si>
  <si>
    <t>BS-2130</t>
  </si>
  <si>
    <t>BS-2058</t>
  </si>
  <si>
    <t>BS-2119</t>
  </si>
  <si>
    <t>01/01/2026</t>
  </si>
  <si>
    <t>BS-2094</t>
  </si>
  <si>
    <t>12</t>
  </si>
  <si>
    <t>BS-2033</t>
  </si>
  <si>
    <t>BS-2133</t>
  </si>
  <si>
    <t>02/03/2026</t>
  </si>
  <si>
    <t>BS-2062</t>
  </si>
  <si>
    <t>BS-2143</t>
  </si>
  <si>
    <t>BS-2009</t>
  </si>
  <si>
    <t>BS-2014</t>
  </si>
  <si>
    <t>BS-2103</t>
  </si>
  <si>
    <t>BS-2068</t>
  </si>
  <si>
    <t>12/02/2026</t>
  </si>
  <si>
    <t>BS-2061</t>
  </si>
  <si>
    <t>9</t>
  </si>
  <si>
    <t>BS-2105</t>
  </si>
  <si>
    <t>BS-2016</t>
  </si>
  <si>
    <t>BS-2150</t>
  </si>
  <si>
    <t>5</t>
  </si>
  <si>
    <t>25/03/2026</t>
  </si>
  <si>
    <t>BS-2032</t>
  </si>
  <si>
    <t>BS-2081</t>
  </si>
  <si>
    <t>BS-2023</t>
  </si>
  <si>
    <t>16/02/2026</t>
  </si>
  <si>
    <t>BS-2020</t>
  </si>
  <si>
    <t>BS-2031</t>
  </si>
  <si>
    <t>BS-2042</t>
  </si>
  <si>
    <t>BS-2135</t>
  </si>
  <si>
    <t>BS-2038</t>
  </si>
  <si>
    <t>BS-2115</t>
  </si>
  <si>
    <t>BS-2078</t>
  </si>
  <si>
    <t>BS-2100</t>
  </si>
  <si>
    <t>BS-2120</t>
  </si>
  <si>
    <t>BS-2108</t>
  </si>
  <si>
    <t>27/01/2026</t>
  </si>
  <si>
    <t>BS-2093</t>
  </si>
  <si>
    <t>BS-2144</t>
  </si>
  <si>
    <t>BS-2041</t>
  </si>
  <si>
    <t>18/01/2026</t>
  </si>
  <si>
    <t>BS-2051</t>
  </si>
  <si>
    <t>18</t>
  </si>
  <si>
    <t>BS-2104</t>
  </si>
  <si>
    <t>BS-2102</t>
  </si>
  <si>
    <t>20/03/2026</t>
  </si>
  <si>
    <t>BS-2090</t>
  </si>
  <si>
    <t>BS-2088</t>
  </si>
  <si>
    <t>BS-2092</t>
  </si>
  <si>
    <t>BS-2091</t>
  </si>
  <si>
    <t>BS-2106</t>
  </si>
  <si>
    <t>26/03/2026</t>
  </si>
  <si>
    <t>BS-2044</t>
  </si>
  <si>
    <t>BS-2099</t>
  </si>
  <si>
    <t>BS-2060</t>
  </si>
  <si>
    <t>BS-2029</t>
  </si>
  <si>
    <t>BS-2140</t>
  </si>
  <si>
    <t>BS-2021</t>
  </si>
  <si>
    <t>BS-2017</t>
  </si>
  <si>
    <t>BS-2116</t>
  </si>
  <si>
    <t>BS-2040</t>
  </si>
  <si>
    <t>BS-2027</t>
  </si>
  <si>
    <t>BS-2048</t>
  </si>
  <si>
    <t>BS-2117</t>
  </si>
  <si>
    <t>BS-2075</t>
  </si>
  <si>
    <t>07/03/2026</t>
  </si>
  <si>
    <t>BS-2132</t>
  </si>
  <si>
    <t>BS-2057</t>
  </si>
  <si>
    <t>22/03/2026</t>
  </si>
  <si>
    <t>BS-2059</t>
  </si>
  <si>
    <t>BS-2015</t>
  </si>
  <si>
    <t>BS-2085</t>
  </si>
  <si>
    <t>BS-2137</t>
  </si>
  <si>
    <t>BS-2134</t>
  </si>
  <si>
    <t>BS-2129</t>
  </si>
  <si>
    <t>BS-2067</t>
  </si>
  <si>
    <t>3</t>
  </si>
  <si>
    <t>BS-2118</t>
  </si>
  <si>
    <t>BS-2056</t>
  </si>
  <si>
    <t>BS-2050</t>
  </si>
  <si>
    <t>BS-2004</t>
  </si>
  <si>
    <t>BS-2036</t>
  </si>
  <si>
    <t>BS-2112</t>
  </si>
  <si>
    <t>BS-2145</t>
  </si>
  <si>
    <t>BS-2121</t>
  </si>
  <si>
    <t>BS-2024</t>
  </si>
  <si>
    <t>Order Date 2</t>
  </si>
  <si>
    <t>Units Proper</t>
  </si>
  <si>
    <t>Unknown</t>
  </si>
  <si>
    <t>Net Revenue</t>
  </si>
  <si>
    <t>Actual Revenue</t>
  </si>
  <si>
    <t>Budget</t>
  </si>
  <si>
    <t>Units Achieved</t>
  </si>
  <si>
    <t>Budget Units</t>
  </si>
  <si>
    <t>% Units Achieved</t>
  </si>
  <si>
    <t>Total</t>
  </si>
  <si>
    <t>Percentage Of Net Revenue Achieved</t>
  </si>
  <si>
    <t>% Budget Achieved</t>
  </si>
  <si>
    <t>Percentage Of Actual Revenue Individually</t>
  </si>
  <si>
    <t>Percentage Individually</t>
  </si>
  <si>
    <t>Variance</t>
  </si>
  <si>
    <t>Discount Percentage</t>
  </si>
  <si>
    <t>Revenue vs Budget</t>
  </si>
  <si>
    <t>Units vs Budget</t>
  </si>
  <si>
    <t>Discount Rate</t>
  </si>
  <si>
    <t>Brightline Supplies Ltd | Q1 Sales Report</t>
  </si>
  <si>
    <t>Given to Sales Director, Michael Smith</t>
  </si>
  <si>
    <t>Revenue %</t>
  </si>
  <si>
    <t>Units %</t>
  </si>
  <si>
    <t>% of Revenue Achieved</t>
  </si>
  <si>
    <t>Percentage shortfall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</si>
</sst>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£&quot;#,##0.00"/>
    <numFmt numFmtId="166" formatCode="[$£-809]#,##0.00;\-[$£-809]#,##0.00"/>
  </numFmts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2" fillId="0" borderId="0" xfId="0" applyNumberFormat="1" applyFont="1"/>
    <xf numFmtId="2" fontId="2" fillId="0" borderId="0" xfId="0" applyNumberFormat="1" applyFont="1"/>
    <xf numFmtId="0" fontId="5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7" fillId="3" borderId="1" xfId="0" applyFont="1" applyFill="1" applyBorder="1"/>
    <xf numFmtId="0" fontId="7" fillId="3" borderId="2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1" xfId="0" applyBorder="1"/>
    <xf numFmtId="0" fontId="0" fillId="0" borderId="2" xfId="0" applyBorder="1"/>
    <xf numFmtId="0" fontId="7" fillId="3" borderId="3" xfId="0" applyFont="1" applyFill="1" applyBorder="1"/>
    <xf numFmtId="0" fontId="0" fillId="4" borderId="3" xfId="0" applyFill="1" applyBorder="1"/>
    <xf numFmtId="0" fontId="0" fillId="0" borderId="3" xfId="0" applyBorder="1"/>
    <xf numFmtId="165" fontId="0" fillId="0" borderId="0" xfId="0" applyNumberFormat="1"/>
    <xf numFmtId="165" fontId="7" fillId="3" borderId="2" xfId="0" applyNumberFormat="1" applyFont="1" applyFill="1" applyBorder="1"/>
    <xf numFmtId="165" fontId="0" fillId="4" borderId="2" xfId="0" applyNumberFormat="1" applyFill="1" applyBorder="1"/>
    <xf numFmtId="165" fontId="0" fillId="0" borderId="2" xfId="0" applyNumberFormat="1" applyBorder="1"/>
    <xf numFmtId="14" fontId="0" fillId="0" borderId="0" xfId="0" applyNumberFormat="1" applyAlignment="1">
      <alignment horizontal="right"/>
    </xf>
    <xf numFmtId="166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/>
    <xf numFmtId="0" fontId="8" fillId="5" borderId="0" xfId="0" applyFont="1" applyFill="1"/>
    <xf numFmtId="10" fontId="8" fillId="5" borderId="0" xfId="0" applyNumberFormat="1" applyFont="1" applyFill="1"/>
    <xf numFmtId="0" fontId="8" fillId="5" borderId="4" xfId="0" applyFont="1" applyFill="1" applyBorder="1"/>
    <xf numFmtId="165" fontId="8" fillId="5" borderId="4" xfId="0" applyNumberFormat="1" applyFont="1" applyFill="1" applyBorder="1"/>
    <xf numFmtId="0" fontId="0" fillId="0" borderId="0" xfId="0" applyAlignment="1">
      <alignment horizontal="center"/>
    </xf>
    <xf numFmtId="0" fontId="8" fillId="5" borderId="4" xfId="0" applyFont="1" applyFill="1" applyBorder="1" applyAlignment="1">
      <alignment horizontal="center"/>
    </xf>
    <xf numFmtId="10" fontId="8" fillId="5" borderId="4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42"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E2761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E2761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E2761"/>
        </patternFill>
      </fill>
      <alignment horizontal="center" vertical="center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65" formatCode="&quot;£&quot;#,##0.00"/>
    </dxf>
    <dxf>
      <numFmt numFmtId="14" formatCode="0.00%"/>
    </dxf>
    <dxf>
      <numFmt numFmtId="14" formatCode="0.00%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66" formatCode="[$£-809]#,##0.00;\-[$£-809]#,##0.00"/>
    </dxf>
    <dxf>
      <numFmt numFmtId="166" formatCode="[$£-809]#,##0.00;\-[$£-809]#,##0.00"/>
    </dxf>
    <dxf>
      <numFmt numFmtId="14" formatCode="0.00%"/>
    </dxf>
    <dxf>
      <numFmt numFmtId="165" formatCode="&quot;£&quot;#,##0.00"/>
    </dxf>
    <dxf>
      <numFmt numFmtId="165" formatCode="&quot;£&quot;#,##0.00"/>
    </dxf>
    <dxf>
      <numFmt numFmtId="166" formatCode="[$£-809]#,##0.00;\-[$£-809]#,##0.00"/>
    </dxf>
    <dxf>
      <numFmt numFmtId="166" formatCode="[$£-809]#,##0.00;\-[$£-809]#,##0.00"/>
    </dxf>
    <dxf>
      <numFmt numFmtId="166" formatCode="[$£-809]#,##0.00;\-[$£-809]#,##0.00"/>
    </dxf>
    <dxf>
      <numFmt numFmtId="165" formatCode="&quot;£&quot;#,##0.00"/>
    </dxf>
    <dxf>
      <numFmt numFmtId="165" formatCode="&quot;£&quot;#,##0.00"/>
    </dxf>
    <dxf>
      <numFmt numFmtId="0" formatCode="General"/>
    </dxf>
    <dxf>
      <numFmt numFmtId="165" formatCode="&quot;£&quot;#,##0.00"/>
    </dxf>
    <dxf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Analysis!$E$9</c:f>
              <c:strCache>
                <c:ptCount val="1"/>
                <c:pt idx="0">
                  <c:v>% Budget Achieved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C2-3D4B-B392-39EA38FAC8A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2-3D4B-B392-39EA38FAC8A5}"/>
              </c:ext>
            </c:extLst>
          </c:dPt>
          <c:cat>
            <c:strRef>
              <c:f>Analysis!$A$10:$A$14</c:f>
              <c:strCache>
                <c:ptCount val="5"/>
                <c:pt idx="0">
                  <c:v>Paper</c:v>
                </c:pt>
                <c:pt idx="1">
                  <c:v>Stationery</c:v>
                </c:pt>
                <c:pt idx="2">
                  <c:v>Janitorial</c:v>
                </c:pt>
                <c:pt idx="3">
                  <c:v>Print</c:v>
                </c:pt>
                <c:pt idx="4">
                  <c:v>Furniture</c:v>
                </c:pt>
              </c:strCache>
            </c:strRef>
          </c:cat>
          <c:val>
            <c:numRef>
              <c:f>Analysis!$E$10:$E$14</c:f>
              <c:numCache>
                <c:formatCode>0.00%</c:formatCode>
                <c:ptCount val="5"/>
                <c:pt idx="0">
                  <c:v>0.50541458333333333</c:v>
                </c:pt>
                <c:pt idx="1">
                  <c:v>0.846024</c:v>
                </c:pt>
                <c:pt idx="2">
                  <c:v>0.88287871666666662</c:v>
                </c:pt>
                <c:pt idx="3">
                  <c:v>0.94186988636363644</c:v>
                </c:pt>
                <c:pt idx="4">
                  <c:v>0.9358536585365852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C2-3D4B-B392-39EA38FAC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4359903"/>
        <c:axId val="1649163904"/>
      </c:barChart>
      <c:catAx>
        <c:axId val="1714359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63904"/>
        <c:crosses val="autoZero"/>
        <c:auto val="1"/>
        <c:lblAlgn val="ctr"/>
        <c:lblOffset val="100"/>
        <c:noMultiLvlLbl val="0"/>
      </c:catAx>
      <c:valAx>
        <c:axId val="1649163904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Achieved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35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Variance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8E9-1646-B768-0226BD870DB6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E9-1646-B768-0226BD870D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Analysis!$A$2:$A$5</c:f>
              <c:strCache>
                <c:ptCount val="4"/>
                <c:pt idx="0">
                  <c:v>South</c:v>
                </c:pt>
                <c:pt idx="1">
                  <c:v>Midlands</c:v>
                </c:pt>
                <c:pt idx="2">
                  <c:v>Scotland</c:v>
                </c:pt>
                <c:pt idx="3">
                  <c:v>North</c:v>
                </c:pt>
              </c:strCache>
            </c:strRef>
          </c:cat>
          <c:val>
            <c:numRef>
              <c:f>Analysis!$F$2:$F$5</c:f>
              <c:numCache>
                <c:formatCode>[$£-809]#,##0.00;\-[$£-809]#,##0.00</c:formatCode>
                <c:ptCount val="4"/>
                <c:pt idx="0">
                  <c:v>2419.7500000000146</c:v>
                </c:pt>
                <c:pt idx="1">
                  <c:v>-3838.5979999999981</c:v>
                </c:pt>
                <c:pt idx="2">
                  <c:v>-8495.4937500000015</c:v>
                </c:pt>
                <c:pt idx="3">
                  <c:v>-15024.987500000003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9-1646-B768-0226BD870D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2695344"/>
        <c:axId val="269801360"/>
      </c:barChart>
      <c:catAx>
        <c:axId val="7626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01360"/>
        <c:crosses val="autoZero"/>
        <c:auto val="1"/>
        <c:lblAlgn val="ctr"/>
        <c:lblOffset val="100"/>
        <c:noMultiLvlLbl val="0"/>
      </c:catAx>
      <c:valAx>
        <c:axId val="269801360"/>
        <c:scaling>
          <c:orientation val="minMax"/>
        </c:scaling>
        <c:delete val="0"/>
        <c:axPos val="l"/>
        <c:numFmt formatCode="[$£-809]#,##0.00;\-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9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and Units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Analysis!$I$9</c:f>
              <c:strCache>
                <c:ptCount val="1"/>
                <c:pt idx="0">
                  <c:v>Revenue vs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82A-4848-B6A4-658FA15578DE}"/>
              </c:ext>
            </c:extLst>
          </c:dPt>
          <c:cat>
            <c:strRef>
              <c:f>Analysis!$H$10:$H$13</c:f>
              <c:strCache>
                <c:ptCount val="4"/>
                <c:pt idx="0">
                  <c:v>South</c:v>
                </c:pt>
                <c:pt idx="1">
                  <c:v>Midlands</c:v>
                </c:pt>
                <c:pt idx="2">
                  <c:v>Scotland</c:v>
                </c:pt>
                <c:pt idx="3">
                  <c:v>North</c:v>
                </c:pt>
              </c:strCache>
            </c:strRef>
          </c:cat>
          <c:val>
            <c:numRef>
              <c:f>Analysis!$I$10:$I$13</c:f>
              <c:numCache>
                <c:formatCode>0.00%</c:formatCode>
                <c:ptCount val="4"/>
                <c:pt idx="0">
                  <c:v>1.0318388157894738</c:v>
                </c:pt>
                <c:pt idx="1">
                  <c:v>0.94668613888888886</c:v>
                </c:pt>
                <c:pt idx="2">
                  <c:v>0.87863580357142856</c:v>
                </c:pt>
                <c:pt idx="3">
                  <c:v>0.77904430147058823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A-4848-B6A4-658FA15578DE}"/>
            </c:ext>
          </c:extLst>
        </c:ser>
        <c:ser>
          <c:idx val="1"/>
          <c:order val="1"/>
          <c:tx>
            <c:strRef>
              <c:f>Analysis!$J$9</c:f>
              <c:strCache>
                <c:ptCount val="1"/>
                <c:pt idx="0">
                  <c:v>Units vs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Analysis!$H$10:$H$13</c:f>
              <c:strCache>
                <c:ptCount val="4"/>
                <c:pt idx="0">
                  <c:v>South</c:v>
                </c:pt>
                <c:pt idx="1">
                  <c:v>Midlands</c:v>
                </c:pt>
                <c:pt idx="2">
                  <c:v>Scotland</c:v>
                </c:pt>
                <c:pt idx="3">
                  <c:v>North</c:v>
                </c:pt>
              </c:strCache>
            </c:strRef>
          </c:cat>
          <c:val>
            <c:numRef>
              <c:f>Analysis!$J$10:$J$13</c:f>
              <c:numCache>
                <c:formatCode>0.00%</c:formatCode>
                <c:ptCount val="4"/>
                <c:pt idx="0">
                  <c:v>1.0225806451612902</c:v>
                </c:pt>
                <c:pt idx="1">
                  <c:v>0.97647058823529409</c:v>
                </c:pt>
                <c:pt idx="2">
                  <c:v>0.89102564102564108</c:v>
                </c:pt>
                <c:pt idx="3">
                  <c:v>1.0015624999999999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A-4848-B6A4-658FA1557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16752"/>
        <c:axId val="56469632"/>
      </c:barChart>
      <c:catAx>
        <c:axId val="5651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9632"/>
        <c:crosses val="autoZero"/>
        <c:auto val="1"/>
        <c:lblAlgn val="ctr"/>
        <c:lblOffset val="100"/>
        <c:noMultiLvlLbl val="0"/>
      </c:catAx>
      <c:valAx>
        <c:axId val="56469632"/>
        <c:scaling>
          <c:orientation val="minMax"/>
          <c:min val="0.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  <a:r>
                  <a:rPr lang="en-GB" baseline="0"/>
                  <a:t> Achieved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total revenue region-wise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Percentage Of Actual Revenue Individually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F8-454B-A9C0-443B548E079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F8-454B-A9C0-443B548E07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Analysis!$A$2:$A$5</c:f>
              <c:strCache>
                <c:ptCount val="4"/>
                <c:pt idx="0">
                  <c:v>South</c:v>
                </c:pt>
                <c:pt idx="1">
                  <c:v>Midlands</c:v>
                </c:pt>
                <c:pt idx="2">
                  <c:v>Scotland</c:v>
                </c:pt>
                <c:pt idx="3">
                  <c:v>North</c:v>
                </c:pt>
              </c:strCache>
            </c:strRef>
          </c:cat>
          <c:val>
            <c:numRef>
              <c:f>Analysis!$J$2:$J$5</c:f>
              <c:numCache>
                <c:formatCode>0.00%</c:formatCode>
                <c:ptCount val="4"/>
                <c:pt idx="0">
                  <c:v>0.30038898534470276</c:v>
                </c:pt>
                <c:pt idx="1">
                  <c:v>0.26109410430985036</c:v>
                </c:pt>
                <c:pt idx="2">
                  <c:v>0.23559468407594292</c:v>
                </c:pt>
                <c:pt idx="3">
                  <c:v>0.20292222626950407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8-454B-A9C0-443B548E0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62448"/>
        <c:axId val="82564160"/>
      </c:barChart>
      <c:catAx>
        <c:axId val="825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4160"/>
        <c:crosses val="autoZero"/>
        <c:auto val="1"/>
        <c:lblAlgn val="ctr"/>
        <c:lblOffset val="100"/>
        <c:noMultiLvlLbl val="0"/>
      </c:catAx>
      <c:valAx>
        <c:axId val="82564160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Analysis!$F$9</c:f>
              <c:strCache>
                <c:ptCount val="1"/>
                <c:pt idx="0">
                  <c:v>Percentage Individually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Analysis!$A$10:$A$14</c:f>
              <c:strCache>
                <c:ptCount val="5"/>
                <c:pt idx="0">
                  <c:v>Paper</c:v>
                </c:pt>
                <c:pt idx="1">
                  <c:v>Stationery</c:v>
                </c:pt>
                <c:pt idx="2">
                  <c:v>Janitorial</c:v>
                </c:pt>
                <c:pt idx="3">
                  <c:v>Print</c:v>
                </c:pt>
                <c:pt idx="4">
                  <c:v>Furniture</c:v>
                </c:pt>
              </c:strCache>
            </c:strRef>
          </c:cat>
          <c:val>
            <c:numRef>
              <c:f>Analysis!$F$10:$F$14</c:f>
              <c:numCache>
                <c:formatCode>0.00%</c:formatCode>
                <c:ptCount val="5"/>
                <c:pt idx="0">
                  <c:v>2.3232051701146565E-2</c:v>
                </c:pt>
                <c:pt idx="1">
                  <c:v>3.2407179433403793E-2</c:v>
                </c:pt>
                <c:pt idx="2">
                  <c:v>5.0728364069370264E-2</c:v>
                </c:pt>
                <c:pt idx="3">
                  <c:v>0.15874576159227924</c:v>
                </c:pt>
                <c:pt idx="4">
                  <c:v>0.73488664320380004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4-1244-897C-F87738556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813344"/>
        <c:axId val="1982817824"/>
      </c:barChart>
      <c:catAx>
        <c:axId val="198281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817824"/>
        <c:crosses val="autoZero"/>
        <c:auto val="1"/>
        <c:lblAlgn val="ctr"/>
        <c:lblOffset val="100"/>
        <c:noMultiLvlLbl val="0"/>
      </c:catAx>
      <c:valAx>
        <c:axId val="198281782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81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2</xdr:row>
      <xdr:rowOff>0</xdr:rowOff>
    </xdr:from>
    <xdr:to>
      <xdr:col>12</xdr:col>
      <xdr:colOff>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283A1-FAD4-4842-8DEF-BFDD97DA1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16</xdr:row>
      <xdr:rowOff>177800</xdr:rowOff>
    </xdr:from>
    <xdr:to>
      <xdr:col>6</xdr:col>
      <xdr:colOff>12700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830C64-1C6D-FE45-9C64-98E70D334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12700</xdr:colOff>
      <xdr:row>17</xdr:row>
      <xdr:rowOff>12700</xdr:rowOff>
    </xdr:from>
    <xdr:to>
      <xdr:col>12</xdr:col>
      <xdr:colOff>12700</xdr:colOff>
      <xdr:row>32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315555-433D-9E48-B977-4C246B174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12700</xdr:colOff>
      <xdr:row>2</xdr:row>
      <xdr:rowOff>25400</xdr:rowOff>
    </xdr:from>
    <xdr:to>
      <xdr:col>15</xdr:col>
      <xdr:colOff>355600</xdr:colOff>
      <xdr:row>32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ACDE48-13D3-B755-0EA1-14F768C66FA7}"/>
            </a:ext>
          </a:extLst>
        </xdr:cNvPr>
        <xdr:cNvSpPr txBox="1"/>
      </xdr:nvSpPr>
      <xdr:spPr>
        <a:xfrm>
          <a:off x="10058400" y="406400"/>
          <a:ext cx="2819400" cy="568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GB" sz="1080"/>
            <a:t>The South performed</a:t>
          </a:r>
          <a:r>
            <a:rPr lang="en-GB" sz="1080" baseline="0"/>
            <a:t> the best region wise, outperforming both the budgeted revenue and the volume. It also contributed the highest proportion of the total actualised revenue, at 30%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080" baseline="0"/>
            <a:t>The North performed the worst overall, with the highest shortfall out of all regions, at 60% of the total shortfall across the company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080"/>
            <a:t>Furniture constitutes the highest percentage of our revenue by category, standing at 73%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080"/>
            <a:t>Overall,</a:t>
          </a:r>
          <a:r>
            <a:rPr lang="en-GB" sz="1080" baseline="0"/>
            <a:t> we could say that it's moreso a pricing problem than a volume problem, because we achieved 91% of our revenue goals and 97% of our volume goals, however if we look closer at the North, the discount rate sits at 8.73% which is considerably higher than the other regions, so pricing is definitely an issue there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080" baseline="0"/>
            <a:t>For Scotland, it's an issue of both volume and pricing as they're both less than 90% of their respective targets</a:t>
          </a:r>
        </a:p>
        <a:p>
          <a:pPr marL="0" indent="0">
            <a:buFontTx/>
            <a:buNone/>
          </a:pPr>
          <a:r>
            <a:rPr lang="en-GB" sz="1080" baseline="0"/>
            <a:t>Actionable Steps</a:t>
          </a:r>
        </a:p>
        <a:p>
          <a:pPr marL="0" indent="0">
            <a:buFontTx/>
            <a:buNone/>
          </a:pPr>
          <a:r>
            <a:rPr lang="en-GB" sz="1080" baseline="0"/>
            <a:t>1. Change volume and pricing for Scotland</a:t>
          </a:r>
        </a:p>
        <a:p>
          <a:pPr marL="0" indent="0">
            <a:buFontTx/>
            <a:buNone/>
          </a:pPr>
          <a:r>
            <a:rPr lang="en-GB" sz="1080" baseline="0"/>
            <a:t>2. Alter the discount rate for products in the North</a:t>
          </a:r>
        </a:p>
        <a:p>
          <a:pPr marL="0" indent="0">
            <a:buFontTx/>
            <a:buNone/>
          </a:pPr>
          <a:r>
            <a:rPr lang="en-GB" sz="1080" baseline="0"/>
            <a:t>3. Consider getting rid of the category Paper as it only achieved 50.54% of its total budget plans, and contributed only 2.32% of our total revenue, which suggests it's not a popular category for our customers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6</xdr:col>
      <xdr:colOff>0</xdr:colOff>
      <xdr:row>16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36EE2A-6F3C-C245-908E-77B2EA6E4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88900</xdr:rowOff>
    </xdr:from>
    <xdr:to>
      <xdr:col>7</xdr:col>
      <xdr:colOff>127000</xdr:colOff>
      <xdr:row>40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9BDB01-B637-FE4B-B873-7DB4BA6F7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urain/AppData/Roaming/Microsoft/Excel/Brightline_Supplies_Sales_Data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"/>
      <sheetName val="Q4 Sales Export"/>
      <sheetName val="Q4 Working"/>
      <sheetName val="Analysis"/>
      <sheetName val="Dashboard"/>
      <sheetName val="Sheet1"/>
      <sheetName val="Regional Budget"/>
      <sheetName val="Category Budget"/>
      <sheetName val="Approved Discounts"/>
      <sheetName val="Documentation"/>
      <sheetName val="Q1 Sales Export"/>
      <sheetName val="Q1 Working"/>
      <sheetName val="Brightline_Supplies_Sales_Dat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4EF61-35BB-7D4A-A7EC-9F8E9F002B74}" name="tbl_Q1_Sales" displayName="tbl_Q1_Sales" ref="A1:M146" totalsRowCount="1">
  <autoFilter ref="A1:M145" xr:uid="{31C4EF61-35BB-7D4A-A7EC-9F8E9F002B74}"/>
  <tableColumns count="13">
    <tableColumn id="1" xr3:uid="{4727E345-F1DB-E946-950F-EF137C734D20}" name="Order ID" totalsRowLabel="Total"/>
    <tableColumn id="2" xr3:uid="{D7384697-8564-3B48-9BC0-822781CA56D0}" name="Order Date" dataDxfId="41" totalsRowDxfId="40"/>
    <tableColumn id="3" xr3:uid="{FD21ACDB-B5E4-4A43-9071-73438FEB140A}" name="Customer Name"/>
    <tableColumn id="4" xr3:uid="{4AE75534-203E-1E4A-8700-F2A83A856084}" name="Region"/>
    <tableColumn id="5" xr3:uid="{B044904A-136B-2E4B-9DEB-99AA593AE6A3}" name="Sales Rep"/>
    <tableColumn id="6" xr3:uid="{E3A4D38E-DB66-FC4E-8802-0F4700DA15AB}" name="Product"/>
    <tableColumn id="7" xr3:uid="{C00730B1-FB6A-8C40-AB6B-BD40D4785246}" name="Category"/>
    <tableColumn id="8" xr3:uid="{31BFE163-2CB1-9343-B706-49BC3E9D9BAC}" name="Units" totalsRowFunction="sum"/>
    <tableColumn id="9" xr3:uid="{42B831A5-A54E-084A-BA09-9D0B3D61332E}" name="Unit Price" dataDxfId="39"/>
    <tableColumn id="10" xr3:uid="{F332B690-966A-3F46-8013-F4FA772C9A55}" name="Payment Terms"/>
    <tableColumn id="16" xr3:uid="{DFFA4E45-1199-FB4C-BE64-B18CBEC3DBB6}" name="Discount %" dataDxfId="38">
      <calculatedColumnFormula>_xlfn.XLOOKUP(tbl_Q1_Sales[[#This Row],[Order ID]], Discount_Order_tbl[Order ID], Discount_Order_tbl[Discount %], 0)</calculatedColumnFormula>
    </tableColumn>
    <tableColumn id="17" xr3:uid="{697C38D2-EBF3-F14B-AEA8-B410B7F25267}" name="Net Revenue" totalsRowFunction="sum" dataDxfId="37">
      <calculatedColumnFormula>tbl_Q1_Sales[[#This Row],[Units]]*tbl_Q1_Sales[[#This Row],[Unit Price]]</calculatedColumnFormula>
    </tableColumn>
    <tableColumn id="18" xr3:uid="{28368C01-8602-BA4F-B8F8-321748DBEC8A}" name="Actual Revenue" totalsRowFunction="sum" dataDxfId="36">
      <calculatedColumnFormula>tbl_Q1_Sales[[#This Row],[Net Revenue]]*(1-tbl_Q1_Sales[[#This Row],[Discount %]]/100)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640BAF-28A1-A848-AF7D-C5684333CB23}" name="Region_Analysis_tbl" displayName="Region_Analysis_tbl" ref="A1:L6" totalsRowCount="1">
  <autoFilter ref="A1:L5" xr:uid="{56640BAF-28A1-A848-AF7D-C5684333CB23}"/>
  <sortState xmlns:xlrd2="http://schemas.microsoft.com/office/spreadsheetml/2017/richdata2" ref="A2:K5">
    <sortCondition descending="1" ref="F1:F5"/>
  </sortState>
  <tableColumns count="12">
    <tableColumn id="1" xr3:uid="{73C1AFB9-C7EE-0441-8DE2-CD3DCCDA57EB}" name="Region" totalsRowLabel="Total"/>
    <tableColumn id="2" xr3:uid="{6C2330ED-C481-2143-950E-3C0032DD1536}" name="Net Revenue" dataDxfId="35">
      <calculatedColumnFormula>SUMIFS(tbl_Q1_Sales[Net Revenue], tbl_Q1_Sales[Region], Region_Analysis_tbl[[#This Row],[Region]])</calculatedColumnFormula>
    </tableColumn>
    <tableColumn id="3" xr3:uid="{4E002CA3-9957-BB48-AC89-F7D5D6D32371}" name="Actual Revenue" totalsRowFunction="sum" dataDxfId="34" totalsRowDxfId="33">
      <calculatedColumnFormula>SUMIFS(tbl_Q1_Sales[Actual Revenue], tbl_Q1_Sales[Region], Region_Analysis_tbl[[#This Row],[Region]])</calculatedColumnFormula>
    </tableColumn>
    <tableColumn id="4" xr3:uid="{71E5645C-B032-8A4D-9D34-2CCF601F1328}" name="Budget" totalsRowFunction="sum" dataDxfId="32" totalsRowDxfId="31">
      <calculatedColumnFormula>_xlfn.XLOOKUP(Region_Analysis_tbl[[#This Row],[Region]], Regional_Budget_Tbl[Region], Regional_Budget_Tbl[Q1 Budget Revenue])</calculatedColumnFormula>
    </tableColumn>
    <tableColumn id="5" xr3:uid="{E9B8411B-09AA-E74E-B912-9C52E315E66D}" name="% Budget Achieved" dataDxfId="30">
      <calculatedColumnFormula>Region_Analysis_tbl[[#This Row],[Actual Revenue]]/Region_Analysis_tbl[[#This Row],[Budget]]</calculatedColumnFormula>
    </tableColumn>
    <tableColumn id="10" xr3:uid="{B58216B6-7EB6-5145-BFEF-7E71401373C0}" name="Variance" totalsRowFunction="sum" dataDxfId="29" totalsRowDxfId="28">
      <calculatedColumnFormula>Region_Analysis_tbl[[#This Row],[Actual Revenue]]-Region_Analysis_tbl[[#This Row],[Budget]]</calculatedColumnFormula>
    </tableColumn>
    <tableColumn id="6" xr3:uid="{18DCC087-2E66-5E4F-A7FC-896CD7AF2887}" name="Units Achieved" totalsRowFunction="sum" dataDxfId="27">
      <calculatedColumnFormula>SUMIFS(tbl_Q1_Sales[Units], tbl_Q1_Sales[Region], Region_Analysis_tbl[[#This Row],[Region]])</calculatedColumnFormula>
    </tableColumn>
    <tableColumn id="7" xr3:uid="{78D31D26-2CFD-094B-AF4F-E5A6EF18A108}" name="Budget Units" totalsRowFunction="sum" dataDxfId="26">
      <calculatedColumnFormula>_xlfn.XLOOKUP(Region_Analysis_tbl[[#This Row],[Region]], Regional_Budget_Tbl[Region], Regional_Budget_Tbl[Q1 Budget Units])</calculatedColumnFormula>
    </tableColumn>
    <tableColumn id="8" xr3:uid="{3759CB63-D78A-004D-ACDD-12BD3A0ACF3B}" name="% Units Achieved" dataDxfId="25" totalsRowDxfId="24">
      <calculatedColumnFormula>Region_Analysis_tbl[[#This Row],[Units Achieved]]/Region_Analysis_tbl[[#This Row],[Budget Units]]</calculatedColumnFormula>
    </tableColumn>
    <tableColumn id="9" xr3:uid="{90376AC3-14FB-7743-B1E8-7A991F20FBA2}" name="Percentage Of Actual Revenue Individually" dataDxfId="23">
      <calculatedColumnFormula>Region_Analysis_tbl[[#This Row],[Actual Revenue]]/Region_Analysis_tbl[[#Totals],[Actual Revenue]]</calculatedColumnFormula>
    </tableColumn>
    <tableColumn id="11" xr3:uid="{35366B23-95B4-B34C-B892-6E40DFE33AA2}" name="Discount Percentage" dataDxfId="22">
      <calculatedColumnFormula>1-Region_Analysis_tbl[[#This Row],[Actual Revenue]]/Region_Analysis_tbl[[#This Row],[Net Revenue]]</calculatedColumnFormula>
    </tableColumn>
    <tableColumn id="12" xr3:uid="{192D3142-D344-7B41-ADD3-22DE86F276AD}" name="Percentage shortfall" dataDxfId="21">
      <calculatedColumnFormula>Region_Analysis_tbl[[#This Row],[Variance]]/Region_Analysis_tbl[[#Totals],[Variance]]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6AD985-EE94-4642-A7EC-BDCCCF284C5C}" name="Categories_Analysis" displayName="Categories_Analysis" ref="A9:G15" totalsRowCount="1">
  <autoFilter ref="A9:G14" xr:uid="{7B6AD985-EE94-4642-A7EC-BDCCCF284C5C}"/>
  <sortState xmlns:xlrd2="http://schemas.microsoft.com/office/spreadsheetml/2017/richdata2" ref="A10:F14">
    <sortCondition ref="F9:F14"/>
  </sortState>
  <tableColumns count="7">
    <tableColumn id="1" xr3:uid="{EABB73AC-2FCD-664E-AC17-899F752768F1}" name="Category" totalsRowLabel="Total"/>
    <tableColumn id="2" xr3:uid="{2FF7C60A-4108-EE46-B70A-E091F2D73ED3}" name="Net Revenue" dataDxfId="20">
      <calculatedColumnFormula>SUMIFS(tbl_Q1_Sales[Net Revenue], tbl_Q1_Sales[Category], Categories_Analysis[[#This Row],[Category]])</calculatedColumnFormula>
    </tableColumn>
    <tableColumn id="3" xr3:uid="{73D3E4B2-6B25-5240-8D14-0ED0A0D34ABD}" name="Actual Revenue" totalsRowFunction="sum" dataDxfId="19" totalsRowDxfId="18">
      <calculatedColumnFormula>SUMIFS(tbl_Q1_Sales[Actual Revenue], tbl_Q1_Sales[Category], Categories_Analysis[[#This Row],[Category]])</calculatedColumnFormula>
    </tableColumn>
    <tableColumn id="4" xr3:uid="{A182B2B6-179B-264C-8465-5F372B524265}" name="Budget" dataDxfId="17">
      <calculatedColumnFormula>_xlfn.XLOOKUP(Categories_Analysis[[#This Row],[Category]], Category_Budget_Tbl[Category], Category_Budget_Tbl[Q1 Budget Revenue])</calculatedColumnFormula>
    </tableColumn>
    <tableColumn id="5" xr3:uid="{B4FD41F0-C709-854D-9500-045D734139C9}" name="% Budget Achieved" dataDxfId="16">
      <calculatedColumnFormula>Categories_Analysis[[#This Row],[Actual Revenue]]/Categories_Analysis[[#This Row],[Budget]]</calculatedColumnFormula>
    </tableColumn>
    <tableColumn id="6" xr3:uid="{900CF240-0BAA-4347-96A1-74F56D887BF3}" name="Percentage Individually" dataDxfId="15">
      <calculatedColumnFormula>Categories_Analysis[[#This Row],[Actual Revenue]]/Categories_Analysis[[#Totals],[Actual Revenue]]</calculatedColumnFormula>
    </tableColumn>
    <tableColumn id="10" xr3:uid="{D86CB29E-D44C-F949-B8EA-1DAEE67C642A}" name="Variance" totalsRowFunction="sum" dataDxfId="14">
      <calculatedColumnFormula>Categories_Analysis[[#This Row],[Actual Revenue]]-Categories_Analysis[[#This Row],[Budget]]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F200B8-9DBD-4742-B796-48B3E522FFD1}" name="Table7" displayName="Table7" ref="H9:K13" totalsRowShown="0">
  <autoFilter ref="H9:K13" xr:uid="{19F200B8-9DBD-4742-B796-48B3E522FFD1}"/>
  <sortState xmlns:xlrd2="http://schemas.microsoft.com/office/spreadsheetml/2017/richdata2" ref="H10:K13">
    <sortCondition descending="1" ref="I9:I13"/>
  </sortState>
  <tableColumns count="4">
    <tableColumn id="1" xr3:uid="{064352E5-541A-C84F-BA79-BC673268620D}" name="Region" dataDxfId="13"/>
    <tableColumn id="2" xr3:uid="{32CDBA01-CA13-3740-B0EF-39EDDEAEDEDC}" name="Revenue vs Budget" dataDxfId="12"/>
    <tableColumn id="3" xr3:uid="{7F8CD133-DD01-8A48-BEBF-FEAF6AE7450B}" name="Units vs Budget" dataDxfId="11"/>
    <tableColumn id="4" xr3:uid="{06A0275A-BE4A-E247-93F0-BA1DF7C3DA88}" name="Discount Rat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E36ED-C341-B244-86D5-6C3688B08C14}" name="Regional_Budget_Tbl" displayName="Regional_Budget_Tbl" ref="A1:E5" totalsRowShown="0" headerRowDxfId="9">
  <autoFilter ref="A1:E5" xr:uid="{F0CE36ED-C341-B244-86D5-6C3688B08C14}"/>
  <tableColumns count="5">
    <tableColumn id="1" xr3:uid="{1DC318CB-F3DB-FF48-A2CA-94911B1F3B23}" name="Region"/>
    <tableColumn id="2" xr3:uid="{386ECD28-ACF0-B144-A737-9C14E4D87BC6}" name="Q4 Budget Revenue" dataDxfId="8"/>
    <tableColumn id="3" xr3:uid="{4611C745-192D-384A-B360-2D3CB0999F7A}" name="Q4 Budget Units" dataDxfId="7"/>
    <tableColumn id="4" xr3:uid="{4249C184-4999-1448-875B-EA7EF9CBC340}" name="Q1 Budget Revenue" dataDxfId="6"/>
    <tableColumn id="5" xr3:uid="{5F30824B-D8A7-E646-9741-09157F2FA786}" name="Q1 Budget Units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398A17-62B2-414D-A989-8B965E401A3E}" name="Category_Budget_Tbl" displayName="Category_Budget_Tbl" ref="A1:C6" totalsRowShown="0" headerRowDxfId="4">
  <autoFilter ref="A1:C6" xr:uid="{47398A17-62B2-414D-A989-8B965E401A3E}"/>
  <tableColumns count="3">
    <tableColumn id="1" xr3:uid="{54DA8152-37EF-3443-89DE-9205AA7EBE61}" name="Category"/>
    <tableColumn id="2" xr3:uid="{65C68FC6-F0EA-E542-8551-F5C2A3F401AC}" name="Q4 Budget Revenue" dataDxfId="3"/>
    <tableColumn id="3" xr3:uid="{B6172B79-BB4F-D144-BDDA-B1DC13A68263}" name="Q1 Budget Revenu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1B281C-DEC9-8D4B-AF9F-32566621E081}" name="Discount_Order_tbl" displayName="Discount_Order_tbl" ref="A1:B75" totalsRowShown="0" headerRowDxfId="1">
  <autoFilter ref="A1:B75" xr:uid="{981B281C-DEC9-8D4B-AF9F-32566621E081}"/>
  <tableColumns count="2">
    <tableColumn id="1" xr3:uid="{0643E262-5649-344A-8F63-7953FC9A5948}" name="Order ID"/>
    <tableColumn id="2" xr3:uid="{80FFD1AA-3F27-154C-AA22-E459D67E5A01}" name="Discoun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ht="16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/>
    </row>
    <row r="6" spans="1:1" x14ac:dyDescent="0.2">
      <c r="A6" s="2" t="s">
        <v>3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/>
    </row>
    <row r="10" spans="1:1" x14ac:dyDescent="0.2">
      <c r="A10" s="2" t="s">
        <v>6</v>
      </c>
    </row>
    <row r="11" spans="1:1" x14ac:dyDescent="0.2">
      <c r="A11" s="2" t="s">
        <v>7</v>
      </c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2"/>
    </row>
    <row r="15" spans="1:1" x14ac:dyDescent="0.2">
      <c r="A15" s="2" t="s">
        <v>10</v>
      </c>
    </row>
    <row r="16" spans="1:1" x14ac:dyDescent="0.2">
      <c r="A16" s="2"/>
    </row>
    <row r="17" spans="1:1" x14ac:dyDescent="0.2">
      <c r="A17" s="2" t="s">
        <v>11</v>
      </c>
    </row>
    <row r="18" spans="1:1" x14ac:dyDescent="0.2">
      <c r="A18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9"/>
  <sheetViews>
    <sheetView tabSelected="1" workbookViewId="0">
      <selection activeCell="L16" sqref="L16:L17"/>
    </sheetView>
  </sheetViews>
  <sheetFormatPr baseColWidth="10" defaultColWidth="8.83203125" defaultRowHeight="15" x14ac:dyDescent="0.2"/>
  <cols>
    <col min="1" max="1" width="11" customWidth="1"/>
    <col min="2" max="2" width="13" customWidth="1"/>
    <col min="3" max="3" width="24" customWidth="1"/>
    <col min="4" max="4" width="12" customWidth="1"/>
    <col min="5" max="5" width="16" customWidth="1"/>
    <col min="6" max="6" width="28" customWidth="1"/>
    <col min="7" max="7" width="13" customWidth="1"/>
    <col min="8" max="8" width="9" customWidth="1"/>
    <col min="9" max="9" width="11" customWidth="1"/>
    <col min="10" max="10" width="15" customWidth="1"/>
  </cols>
  <sheetData>
    <row r="1" spans="1:10" ht="16" x14ac:dyDescent="0.2">
      <c r="A1" s="1" t="s">
        <v>13</v>
      </c>
    </row>
    <row r="2" spans="1:10" x14ac:dyDescent="0.2">
      <c r="A2" s="3" t="s">
        <v>194</v>
      </c>
    </row>
    <row r="4" spans="1:10" x14ac:dyDescent="0.2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</row>
    <row r="5" spans="1:10" x14ac:dyDescent="0.2">
      <c r="A5" s="2" t="s">
        <v>179</v>
      </c>
      <c r="B5" s="5">
        <v>46064</v>
      </c>
      <c r="C5" s="2" t="s">
        <v>50</v>
      </c>
      <c r="D5" s="2" t="s">
        <v>79</v>
      </c>
      <c r="E5" s="2"/>
      <c r="F5" s="2" t="s">
        <v>68</v>
      </c>
      <c r="G5" s="2" t="s">
        <v>69</v>
      </c>
      <c r="H5" s="2">
        <v>18</v>
      </c>
      <c r="I5" s="6">
        <v>18.399999999999999</v>
      </c>
      <c r="J5" s="2" t="s">
        <v>31</v>
      </c>
    </row>
    <row r="6" spans="1:10" x14ac:dyDescent="0.2">
      <c r="A6" s="2" t="s">
        <v>195</v>
      </c>
      <c r="B6" s="5">
        <v>46037</v>
      </c>
      <c r="C6" s="2" t="s">
        <v>129</v>
      </c>
      <c r="D6" s="2" t="s">
        <v>47</v>
      </c>
      <c r="E6" s="2" t="s">
        <v>65</v>
      </c>
      <c r="F6" s="2" t="s">
        <v>54</v>
      </c>
      <c r="G6" s="2" t="s">
        <v>49</v>
      </c>
      <c r="H6" s="2">
        <v>21</v>
      </c>
      <c r="I6" s="6">
        <v>21.99</v>
      </c>
      <c r="J6" s="2" t="s">
        <v>31</v>
      </c>
    </row>
    <row r="7" spans="1:10" x14ac:dyDescent="0.2">
      <c r="A7" s="2" t="s">
        <v>196</v>
      </c>
      <c r="B7" s="5">
        <v>46035</v>
      </c>
      <c r="C7" s="2" t="s">
        <v>32</v>
      </c>
      <c r="D7" s="2" t="s">
        <v>88</v>
      </c>
      <c r="E7" s="2" t="s">
        <v>27</v>
      </c>
      <c r="F7" s="2" t="s">
        <v>96</v>
      </c>
      <c r="G7" s="2" t="s">
        <v>40</v>
      </c>
      <c r="H7" s="2">
        <v>2</v>
      </c>
      <c r="I7" s="6">
        <v>189</v>
      </c>
      <c r="J7" s="2" t="s">
        <v>36</v>
      </c>
    </row>
    <row r="8" spans="1:10" x14ac:dyDescent="0.2">
      <c r="A8" s="2" t="s">
        <v>197</v>
      </c>
      <c r="B8" s="5">
        <v>46055</v>
      </c>
      <c r="C8" s="2" t="s">
        <v>78</v>
      </c>
      <c r="D8" s="2" t="s">
        <v>63</v>
      </c>
      <c r="E8" s="2" t="s">
        <v>34</v>
      </c>
      <c r="F8" s="2" t="s">
        <v>48</v>
      </c>
      <c r="G8" s="2" t="s">
        <v>49</v>
      </c>
      <c r="H8" s="2">
        <v>6</v>
      </c>
      <c r="I8" s="6">
        <v>44</v>
      </c>
      <c r="J8" s="2" t="s">
        <v>44</v>
      </c>
    </row>
    <row r="9" spans="1:10" x14ac:dyDescent="0.2">
      <c r="A9" s="2" t="s">
        <v>198</v>
      </c>
      <c r="B9" s="2" t="s">
        <v>199</v>
      </c>
      <c r="C9" s="2" t="s">
        <v>89</v>
      </c>
      <c r="D9" s="2" t="s">
        <v>64</v>
      </c>
      <c r="E9" s="2" t="s">
        <v>43</v>
      </c>
      <c r="F9" s="2" t="s">
        <v>35</v>
      </c>
      <c r="G9" s="2" t="s">
        <v>29</v>
      </c>
      <c r="H9" s="2">
        <v>3</v>
      </c>
      <c r="I9" s="2" t="s">
        <v>138</v>
      </c>
      <c r="J9" s="2" t="s">
        <v>44</v>
      </c>
    </row>
    <row r="10" spans="1:10" x14ac:dyDescent="0.2">
      <c r="A10" s="2" t="s">
        <v>200</v>
      </c>
      <c r="B10" s="5">
        <v>46047</v>
      </c>
      <c r="C10" s="2" t="s">
        <v>105</v>
      </c>
      <c r="D10" s="2" t="s">
        <v>42</v>
      </c>
      <c r="E10" s="2" t="s">
        <v>27</v>
      </c>
      <c r="F10" s="2" t="s">
        <v>68</v>
      </c>
      <c r="G10" s="2" t="s">
        <v>69</v>
      </c>
      <c r="H10" s="2">
        <v>18</v>
      </c>
      <c r="I10" s="6">
        <v>18.399999999999999</v>
      </c>
      <c r="J10" s="2" t="s">
        <v>76</v>
      </c>
    </row>
    <row r="11" spans="1:10" x14ac:dyDescent="0.2">
      <c r="A11" s="2" t="s">
        <v>201</v>
      </c>
      <c r="B11" s="5">
        <v>46053</v>
      </c>
      <c r="C11" s="2" t="s">
        <v>72</v>
      </c>
      <c r="D11" s="2" t="s">
        <v>51</v>
      </c>
      <c r="E11" s="2" t="s">
        <v>65</v>
      </c>
      <c r="F11" s="2" t="s">
        <v>48</v>
      </c>
      <c r="G11" s="2" t="s">
        <v>49</v>
      </c>
      <c r="H11" s="2" t="s">
        <v>71</v>
      </c>
      <c r="I11" s="2" t="s">
        <v>74</v>
      </c>
      <c r="J11" s="2" t="s">
        <v>44</v>
      </c>
    </row>
    <row r="12" spans="1:10" x14ac:dyDescent="0.2">
      <c r="A12" s="2" t="s">
        <v>202</v>
      </c>
      <c r="B12" s="5">
        <v>46040</v>
      </c>
      <c r="C12" s="2" t="s">
        <v>59</v>
      </c>
      <c r="D12" s="2" t="s">
        <v>90</v>
      </c>
      <c r="E12" s="2" t="s">
        <v>38</v>
      </c>
      <c r="F12" s="2" t="s">
        <v>28</v>
      </c>
      <c r="G12" s="2" t="s">
        <v>29</v>
      </c>
      <c r="H12" s="2" t="s">
        <v>203</v>
      </c>
      <c r="I12" s="6">
        <v>94.75</v>
      </c>
      <c r="J12" s="2" t="s">
        <v>36</v>
      </c>
    </row>
    <row r="13" spans="1:10" x14ac:dyDescent="0.2">
      <c r="A13" s="2" t="s">
        <v>177</v>
      </c>
      <c r="B13" s="5">
        <v>46089</v>
      </c>
      <c r="C13" s="2" t="s">
        <v>53</v>
      </c>
      <c r="D13" s="2" t="s">
        <v>63</v>
      </c>
      <c r="E13" s="2" t="s">
        <v>43</v>
      </c>
      <c r="F13" s="2" t="s">
        <v>57</v>
      </c>
      <c r="G13" s="2" t="s">
        <v>40</v>
      </c>
      <c r="H13" s="2">
        <v>25</v>
      </c>
      <c r="I13" s="6">
        <v>340</v>
      </c>
      <c r="J13" s="2" t="s">
        <v>31</v>
      </c>
    </row>
    <row r="14" spans="1:10" x14ac:dyDescent="0.2">
      <c r="A14" s="2" t="s">
        <v>164</v>
      </c>
      <c r="B14" s="5">
        <v>46101</v>
      </c>
      <c r="C14" s="2" t="s">
        <v>59</v>
      </c>
      <c r="D14" s="2" t="s">
        <v>102</v>
      </c>
      <c r="E14" s="2" t="s">
        <v>27</v>
      </c>
      <c r="F14" s="2" t="s">
        <v>54</v>
      </c>
      <c r="G14" s="2" t="s">
        <v>49</v>
      </c>
      <c r="H14" s="2" t="s">
        <v>115</v>
      </c>
      <c r="I14" s="6">
        <v>21.99</v>
      </c>
      <c r="J14" s="2" t="s">
        <v>76</v>
      </c>
    </row>
    <row r="15" spans="1:10" x14ac:dyDescent="0.2">
      <c r="A15" s="2" t="s">
        <v>204</v>
      </c>
      <c r="B15" s="5">
        <v>46035</v>
      </c>
      <c r="C15" s="2" t="s">
        <v>59</v>
      </c>
      <c r="D15" s="2" t="s">
        <v>42</v>
      </c>
      <c r="E15" s="2" t="s">
        <v>27</v>
      </c>
      <c r="F15" s="2" t="s">
        <v>98</v>
      </c>
      <c r="G15" s="2" t="s">
        <v>69</v>
      </c>
      <c r="H15" s="2">
        <v>5</v>
      </c>
      <c r="I15" s="6">
        <v>12.25</v>
      </c>
      <c r="J15" s="2" t="s">
        <v>55</v>
      </c>
    </row>
    <row r="16" spans="1:10" x14ac:dyDescent="0.2">
      <c r="A16" s="2" t="s">
        <v>205</v>
      </c>
      <c r="B16" s="5">
        <v>46081</v>
      </c>
      <c r="C16" s="2" t="s">
        <v>105</v>
      </c>
      <c r="D16" s="2" t="s">
        <v>67</v>
      </c>
      <c r="E16" s="2" t="s">
        <v>34</v>
      </c>
      <c r="F16" s="2" t="s">
        <v>96</v>
      </c>
      <c r="G16" s="2" t="s">
        <v>40</v>
      </c>
      <c r="H16" s="2" t="s">
        <v>122</v>
      </c>
      <c r="I16" s="6">
        <v>189</v>
      </c>
      <c r="J16" s="2" t="s">
        <v>44</v>
      </c>
    </row>
    <row r="17" spans="1:10" x14ac:dyDescent="0.2">
      <c r="A17" s="2" t="s">
        <v>206</v>
      </c>
      <c r="B17" s="5">
        <v>46039</v>
      </c>
      <c r="C17" s="2" t="s">
        <v>112</v>
      </c>
      <c r="D17" s="2" t="s">
        <v>90</v>
      </c>
      <c r="E17" s="2" t="s">
        <v>38</v>
      </c>
      <c r="F17" s="2" t="s">
        <v>96</v>
      </c>
      <c r="G17" s="2" t="s">
        <v>40</v>
      </c>
      <c r="H17" s="2" t="s">
        <v>207</v>
      </c>
      <c r="I17" s="6">
        <v>189</v>
      </c>
      <c r="J17" s="2" t="s">
        <v>44</v>
      </c>
    </row>
    <row r="18" spans="1:10" x14ac:dyDescent="0.2">
      <c r="A18" s="2" t="s">
        <v>208</v>
      </c>
      <c r="B18" s="5">
        <v>46035</v>
      </c>
      <c r="C18" s="2" t="s">
        <v>60</v>
      </c>
      <c r="D18" s="2" t="s">
        <v>37</v>
      </c>
      <c r="E18" s="2" t="s">
        <v>80</v>
      </c>
      <c r="F18" s="2" t="s">
        <v>35</v>
      </c>
      <c r="G18" s="2" t="s">
        <v>29</v>
      </c>
      <c r="H18" s="2">
        <v>27</v>
      </c>
      <c r="I18" s="6">
        <v>68</v>
      </c>
      <c r="J18" s="2" t="s">
        <v>44</v>
      </c>
    </row>
    <row r="19" spans="1:10" x14ac:dyDescent="0.2">
      <c r="A19" s="2" t="s">
        <v>173</v>
      </c>
      <c r="B19" s="5">
        <v>46037</v>
      </c>
      <c r="C19" s="2" t="s">
        <v>41</v>
      </c>
      <c r="D19" s="2" t="s">
        <v>47</v>
      </c>
      <c r="E19" s="2" t="s">
        <v>85</v>
      </c>
      <c r="F19" s="2" t="s">
        <v>96</v>
      </c>
      <c r="G19" s="2" t="s">
        <v>40</v>
      </c>
      <c r="H19" s="2">
        <v>15</v>
      </c>
      <c r="I19" s="6">
        <v>189</v>
      </c>
      <c r="J19" s="2" t="s">
        <v>44</v>
      </c>
    </row>
    <row r="20" spans="1:10" x14ac:dyDescent="0.2">
      <c r="A20" s="2" t="s">
        <v>209</v>
      </c>
      <c r="B20" s="2" t="s">
        <v>210</v>
      </c>
      <c r="C20" s="2" t="s">
        <v>32</v>
      </c>
      <c r="D20" s="2" t="s">
        <v>64</v>
      </c>
      <c r="E20" s="2"/>
      <c r="F20" s="2" t="s">
        <v>57</v>
      </c>
      <c r="G20" s="2" t="s">
        <v>40</v>
      </c>
      <c r="H20" s="2">
        <v>1</v>
      </c>
      <c r="I20" s="6">
        <v>340</v>
      </c>
      <c r="J20" s="2" t="s">
        <v>44</v>
      </c>
    </row>
    <row r="21" spans="1:10" x14ac:dyDescent="0.2">
      <c r="A21" s="2" t="s">
        <v>174</v>
      </c>
      <c r="B21" s="5">
        <v>46090</v>
      </c>
      <c r="C21" s="2" t="s">
        <v>60</v>
      </c>
      <c r="D21" s="2" t="s">
        <v>63</v>
      </c>
      <c r="E21" s="2" t="s">
        <v>43</v>
      </c>
      <c r="F21" s="2" t="s">
        <v>35</v>
      </c>
      <c r="G21" s="2" t="s">
        <v>29</v>
      </c>
      <c r="H21" s="2" t="s">
        <v>211</v>
      </c>
      <c r="I21" s="6">
        <v>68</v>
      </c>
      <c r="J21" s="2" t="s">
        <v>55</v>
      </c>
    </row>
    <row r="22" spans="1:10" x14ac:dyDescent="0.2">
      <c r="A22" s="2" t="s">
        <v>212</v>
      </c>
      <c r="B22" s="5">
        <v>46090</v>
      </c>
      <c r="C22" s="2" t="s">
        <v>149</v>
      </c>
      <c r="D22" s="2" t="s">
        <v>64</v>
      </c>
      <c r="E22" s="2" t="s">
        <v>65</v>
      </c>
      <c r="F22" s="2" t="s">
        <v>68</v>
      </c>
      <c r="G22" s="2" t="s">
        <v>69</v>
      </c>
      <c r="H22" s="2">
        <v>14</v>
      </c>
      <c r="I22" s="6">
        <v>18.399999999999999</v>
      </c>
      <c r="J22" s="2" t="s">
        <v>44</v>
      </c>
    </row>
    <row r="23" spans="1:10" x14ac:dyDescent="0.2">
      <c r="A23" s="2" t="s">
        <v>162</v>
      </c>
      <c r="B23" s="5">
        <v>46048</v>
      </c>
      <c r="C23" s="2" t="s">
        <v>137</v>
      </c>
      <c r="D23" s="2" t="s">
        <v>108</v>
      </c>
      <c r="E23" s="2" t="s">
        <v>27</v>
      </c>
      <c r="F23" s="2" t="s">
        <v>35</v>
      </c>
      <c r="G23" s="2" t="s">
        <v>29</v>
      </c>
      <c r="H23" s="2">
        <v>13</v>
      </c>
      <c r="I23" s="6">
        <v>68</v>
      </c>
      <c r="J23" s="2" t="s">
        <v>55</v>
      </c>
    </row>
    <row r="24" spans="1:10" x14ac:dyDescent="0.2">
      <c r="A24" s="2" t="s">
        <v>213</v>
      </c>
      <c r="B24" s="5">
        <v>46068</v>
      </c>
      <c r="C24" s="2" t="s">
        <v>25</v>
      </c>
      <c r="D24" s="2" t="s">
        <v>106</v>
      </c>
      <c r="E24" s="2" t="s">
        <v>38</v>
      </c>
      <c r="F24" s="2" t="s">
        <v>57</v>
      </c>
      <c r="G24" s="2" t="s">
        <v>40</v>
      </c>
      <c r="H24" s="2">
        <v>26</v>
      </c>
      <c r="I24" s="6">
        <v>340</v>
      </c>
      <c r="J24" s="2" t="s">
        <v>44</v>
      </c>
    </row>
    <row r="25" spans="1:10" x14ac:dyDescent="0.2">
      <c r="A25" s="2" t="s">
        <v>214</v>
      </c>
      <c r="B25" s="2" t="s">
        <v>215</v>
      </c>
      <c r="C25" s="2" t="s">
        <v>112</v>
      </c>
      <c r="D25" s="2" t="s">
        <v>108</v>
      </c>
      <c r="E25" s="2" t="s">
        <v>43</v>
      </c>
      <c r="F25" s="2" t="s">
        <v>57</v>
      </c>
      <c r="G25" s="2" t="s">
        <v>40</v>
      </c>
      <c r="H25" s="2" t="s">
        <v>77</v>
      </c>
      <c r="I25" s="2" t="s">
        <v>58</v>
      </c>
      <c r="J25" s="2" t="s">
        <v>55</v>
      </c>
    </row>
    <row r="26" spans="1:10" x14ac:dyDescent="0.2">
      <c r="A26" s="2" t="s">
        <v>216</v>
      </c>
      <c r="B26" s="5">
        <v>46049</v>
      </c>
      <c r="C26" s="2" t="s">
        <v>25</v>
      </c>
      <c r="D26" s="2" t="s">
        <v>64</v>
      </c>
      <c r="E26" s="2"/>
      <c r="F26" s="2" t="s">
        <v>48</v>
      </c>
      <c r="G26" s="2" t="s">
        <v>49</v>
      </c>
      <c r="H26" s="2">
        <v>5</v>
      </c>
      <c r="I26" s="2" t="s">
        <v>74</v>
      </c>
      <c r="J26" s="2" t="s">
        <v>36</v>
      </c>
    </row>
    <row r="27" spans="1:10" x14ac:dyDescent="0.2">
      <c r="A27" s="2" t="s">
        <v>217</v>
      </c>
      <c r="B27" s="5">
        <v>46100</v>
      </c>
      <c r="C27" s="2" t="s">
        <v>83</v>
      </c>
      <c r="D27" s="2" t="s">
        <v>64</v>
      </c>
      <c r="E27" s="2"/>
      <c r="F27" s="2" t="s">
        <v>57</v>
      </c>
      <c r="G27" s="2" t="s">
        <v>40</v>
      </c>
      <c r="H27" s="2">
        <v>7</v>
      </c>
      <c r="I27" s="2" t="s">
        <v>58</v>
      </c>
      <c r="J27" s="2" t="s">
        <v>44</v>
      </c>
    </row>
    <row r="28" spans="1:10" x14ac:dyDescent="0.2">
      <c r="A28" s="2" t="s">
        <v>218</v>
      </c>
      <c r="B28" s="5">
        <v>46040</v>
      </c>
      <c r="C28" s="2" t="s">
        <v>32</v>
      </c>
      <c r="D28" s="2" t="s">
        <v>73</v>
      </c>
      <c r="E28" s="2" t="s">
        <v>38</v>
      </c>
      <c r="F28" s="2" t="s">
        <v>39</v>
      </c>
      <c r="G28" s="2" t="s">
        <v>40</v>
      </c>
      <c r="H28" s="2">
        <v>1</v>
      </c>
      <c r="I28" s="6">
        <v>76.5</v>
      </c>
      <c r="J28" s="2" t="s">
        <v>36</v>
      </c>
    </row>
    <row r="29" spans="1:10" x14ac:dyDescent="0.2">
      <c r="A29" s="2" t="s">
        <v>219</v>
      </c>
      <c r="B29" s="5">
        <v>46043</v>
      </c>
      <c r="C29" s="2" t="s">
        <v>89</v>
      </c>
      <c r="D29" s="2" t="s">
        <v>51</v>
      </c>
      <c r="E29" s="2" t="s">
        <v>27</v>
      </c>
      <c r="F29" s="2" t="s">
        <v>86</v>
      </c>
      <c r="G29" s="2" t="s">
        <v>87</v>
      </c>
      <c r="H29" s="2">
        <v>31</v>
      </c>
      <c r="I29" s="6">
        <v>24.5</v>
      </c>
      <c r="J29" s="2" t="s">
        <v>76</v>
      </c>
    </row>
    <row r="30" spans="1:10" x14ac:dyDescent="0.2">
      <c r="A30" s="2" t="s">
        <v>185</v>
      </c>
      <c r="B30" s="5">
        <v>46055</v>
      </c>
      <c r="C30" s="2" t="s">
        <v>89</v>
      </c>
      <c r="D30" s="2" t="s">
        <v>64</v>
      </c>
      <c r="E30" s="2"/>
      <c r="F30" s="2" t="s">
        <v>35</v>
      </c>
      <c r="G30" s="2" t="s">
        <v>29</v>
      </c>
      <c r="H30" s="2">
        <v>16</v>
      </c>
      <c r="I30" s="6">
        <v>68</v>
      </c>
      <c r="J30" s="2" t="s">
        <v>36</v>
      </c>
    </row>
    <row r="31" spans="1:10" x14ac:dyDescent="0.2">
      <c r="A31" s="2" t="s">
        <v>220</v>
      </c>
      <c r="B31" s="2" t="s">
        <v>221</v>
      </c>
      <c r="C31" s="2" t="s">
        <v>92</v>
      </c>
      <c r="D31" s="2" t="s">
        <v>88</v>
      </c>
      <c r="E31" s="2" t="s">
        <v>34</v>
      </c>
      <c r="F31" s="2" t="s">
        <v>54</v>
      </c>
      <c r="G31" s="2" t="s">
        <v>49</v>
      </c>
      <c r="H31" s="2">
        <v>21</v>
      </c>
      <c r="I31" s="6">
        <v>21.99</v>
      </c>
      <c r="J31" s="2" t="s">
        <v>36</v>
      </c>
    </row>
    <row r="32" spans="1:10" x14ac:dyDescent="0.2">
      <c r="A32" s="2" t="s">
        <v>222</v>
      </c>
      <c r="B32" s="5">
        <v>46023</v>
      </c>
      <c r="C32" s="2" t="s">
        <v>41</v>
      </c>
      <c r="D32" s="2" t="s">
        <v>67</v>
      </c>
      <c r="E32" s="2" t="s">
        <v>38</v>
      </c>
      <c r="F32" s="2" t="s">
        <v>35</v>
      </c>
      <c r="G32" s="2" t="s">
        <v>29</v>
      </c>
      <c r="H32" s="2">
        <v>31</v>
      </c>
      <c r="I32" s="6">
        <v>68</v>
      </c>
      <c r="J32" s="2" t="s">
        <v>55</v>
      </c>
    </row>
    <row r="33" spans="1:10" x14ac:dyDescent="0.2">
      <c r="A33" s="2" t="s">
        <v>187</v>
      </c>
      <c r="B33" s="5">
        <v>46109</v>
      </c>
      <c r="C33" s="2" t="s">
        <v>89</v>
      </c>
      <c r="D33" s="2" t="s">
        <v>79</v>
      </c>
      <c r="E33" s="2"/>
      <c r="F33" s="2" t="s">
        <v>39</v>
      </c>
      <c r="G33" s="2" t="s">
        <v>40</v>
      </c>
      <c r="H33" s="2">
        <v>12</v>
      </c>
      <c r="I33" s="6">
        <v>76.5</v>
      </c>
      <c r="J33" s="2" t="s">
        <v>55</v>
      </c>
    </row>
    <row r="34" spans="1:10" x14ac:dyDescent="0.2">
      <c r="A34" s="2" t="s">
        <v>223</v>
      </c>
      <c r="B34" s="5">
        <v>46094</v>
      </c>
      <c r="C34" s="2" t="s">
        <v>78</v>
      </c>
      <c r="D34" s="2" t="s">
        <v>90</v>
      </c>
      <c r="E34" s="2" t="s">
        <v>52</v>
      </c>
      <c r="F34" s="2" t="s">
        <v>39</v>
      </c>
      <c r="G34" s="2" t="s">
        <v>40</v>
      </c>
      <c r="H34" s="2">
        <v>36</v>
      </c>
      <c r="I34" s="6">
        <v>76.5</v>
      </c>
      <c r="J34" s="2" t="s">
        <v>44</v>
      </c>
    </row>
    <row r="35" spans="1:10" x14ac:dyDescent="0.2">
      <c r="A35" s="2" t="s">
        <v>224</v>
      </c>
      <c r="B35" s="5">
        <v>46038</v>
      </c>
      <c r="C35" s="2" t="s">
        <v>97</v>
      </c>
      <c r="D35" s="2" t="s">
        <v>37</v>
      </c>
      <c r="E35" s="2" t="s">
        <v>38</v>
      </c>
      <c r="F35" s="2" t="s">
        <v>48</v>
      </c>
      <c r="G35" s="2" t="s">
        <v>49</v>
      </c>
      <c r="H35" s="2">
        <v>6</v>
      </c>
      <c r="I35" s="6">
        <v>44</v>
      </c>
      <c r="J35" s="2" t="s">
        <v>76</v>
      </c>
    </row>
    <row r="36" spans="1:10" x14ac:dyDescent="0.2">
      <c r="A36" s="2" t="s">
        <v>176</v>
      </c>
      <c r="B36" s="2" t="s">
        <v>225</v>
      </c>
      <c r="C36" s="2" t="s">
        <v>46</v>
      </c>
      <c r="D36" s="2" t="s">
        <v>106</v>
      </c>
      <c r="E36" s="2" t="s">
        <v>34</v>
      </c>
      <c r="F36" s="2" t="s">
        <v>86</v>
      </c>
      <c r="G36" s="2" t="s">
        <v>87</v>
      </c>
      <c r="H36" s="2">
        <v>18</v>
      </c>
      <c r="I36" s="2" t="s">
        <v>99</v>
      </c>
      <c r="J36" s="2" t="s">
        <v>76</v>
      </c>
    </row>
    <row r="37" spans="1:10" x14ac:dyDescent="0.2">
      <c r="A37" s="2" t="s">
        <v>175</v>
      </c>
      <c r="B37" s="5">
        <v>46043</v>
      </c>
      <c r="C37" s="2" t="s">
        <v>60</v>
      </c>
      <c r="D37" s="2" t="s">
        <v>67</v>
      </c>
      <c r="E37" s="2" t="s">
        <v>65</v>
      </c>
      <c r="F37" s="2" t="s">
        <v>28</v>
      </c>
      <c r="G37" s="2" t="s">
        <v>29</v>
      </c>
      <c r="H37" s="2">
        <v>17</v>
      </c>
      <c r="I37" s="6">
        <v>94.75</v>
      </c>
      <c r="J37" s="2" t="s">
        <v>31</v>
      </c>
    </row>
    <row r="38" spans="1:10" x14ac:dyDescent="0.2">
      <c r="A38" s="2" t="s">
        <v>169</v>
      </c>
      <c r="B38" s="2" t="s">
        <v>226</v>
      </c>
      <c r="C38" s="2" t="s">
        <v>60</v>
      </c>
      <c r="D38" s="2" t="s">
        <v>63</v>
      </c>
      <c r="E38" s="2" t="s">
        <v>65</v>
      </c>
      <c r="F38" s="2" t="s">
        <v>98</v>
      </c>
      <c r="G38" s="2" t="s">
        <v>69</v>
      </c>
      <c r="H38" s="2">
        <v>24</v>
      </c>
      <c r="I38" s="6">
        <v>12.25</v>
      </c>
      <c r="J38" s="2" t="s">
        <v>55</v>
      </c>
    </row>
    <row r="39" spans="1:10" x14ac:dyDescent="0.2">
      <c r="A39" s="2" t="s">
        <v>227</v>
      </c>
      <c r="B39" s="2" t="s">
        <v>228</v>
      </c>
      <c r="C39" s="2" t="s">
        <v>129</v>
      </c>
      <c r="D39" s="2" t="s">
        <v>67</v>
      </c>
      <c r="E39" s="2" t="s">
        <v>43</v>
      </c>
      <c r="F39" s="2" t="s">
        <v>57</v>
      </c>
      <c r="G39" s="2" t="s">
        <v>40</v>
      </c>
      <c r="H39" s="2" t="s">
        <v>229</v>
      </c>
      <c r="I39" s="6">
        <v>340</v>
      </c>
      <c r="J39" s="2" t="s">
        <v>44</v>
      </c>
    </row>
    <row r="40" spans="1:10" x14ac:dyDescent="0.2">
      <c r="A40" s="2" t="s">
        <v>230</v>
      </c>
      <c r="B40" s="5">
        <v>46033</v>
      </c>
      <c r="C40" s="2" t="s">
        <v>78</v>
      </c>
      <c r="D40" s="2" t="s">
        <v>51</v>
      </c>
      <c r="E40" s="2" t="s">
        <v>34</v>
      </c>
      <c r="F40" s="2" t="s">
        <v>96</v>
      </c>
      <c r="G40" s="2" t="s">
        <v>40</v>
      </c>
      <c r="H40" s="2">
        <v>12</v>
      </c>
      <c r="I40" s="2" t="s">
        <v>111</v>
      </c>
      <c r="J40" s="2" t="s">
        <v>36</v>
      </c>
    </row>
    <row r="41" spans="1:10" x14ac:dyDescent="0.2">
      <c r="A41" s="2" t="s">
        <v>231</v>
      </c>
      <c r="B41" s="5">
        <v>46048</v>
      </c>
      <c r="C41" s="2" t="s">
        <v>60</v>
      </c>
      <c r="D41" s="2" t="s">
        <v>67</v>
      </c>
      <c r="E41" s="2" t="s">
        <v>85</v>
      </c>
      <c r="F41" s="2" t="s">
        <v>35</v>
      </c>
      <c r="G41" s="2" t="s">
        <v>29</v>
      </c>
      <c r="H41" s="2">
        <v>24</v>
      </c>
      <c r="I41" s="6">
        <v>68</v>
      </c>
      <c r="J41" s="2" t="s">
        <v>76</v>
      </c>
    </row>
    <row r="42" spans="1:10" x14ac:dyDescent="0.2">
      <c r="A42" s="2" t="s">
        <v>232</v>
      </c>
      <c r="B42" s="5">
        <v>46057</v>
      </c>
      <c r="C42" s="2" t="s">
        <v>46</v>
      </c>
      <c r="D42" s="2" t="s">
        <v>63</v>
      </c>
      <c r="E42" s="2" t="s">
        <v>65</v>
      </c>
      <c r="F42" s="2" t="s">
        <v>54</v>
      </c>
      <c r="G42" s="2" t="s">
        <v>49</v>
      </c>
      <c r="H42" s="2">
        <v>19</v>
      </c>
      <c r="I42" s="6">
        <v>21.99</v>
      </c>
      <c r="J42" s="2" t="s">
        <v>31</v>
      </c>
    </row>
    <row r="43" spans="1:10" x14ac:dyDescent="0.2">
      <c r="A43" s="2" t="s">
        <v>183</v>
      </c>
      <c r="B43" s="5">
        <v>46101</v>
      </c>
      <c r="C43" s="2" t="s">
        <v>83</v>
      </c>
      <c r="D43" s="2" t="s">
        <v>47</v>
      </c>
      <c r="E43" s="2" t="s">
        <v>43</v>
      </c>
      <c r="F43" s="2" t="s">
        <v>48</v>
      </c>
      <c r="G43" s="2" t="s">
        <v>49</v>
      </c>
      <c r="H43" s="2">
        <v>19</v>
      </c>
      <c r="I43" s="6">
        <v>44</v>
      </c>
      <c r="J43" s="2" t="s">
        <v>36</v>
      </c>
    </row>
    <row r="44" spans="1:10" x14ac:dyDescent="0.2">
      <c r="A44" s="2" t="s">
        <v>233</v>
      </c>
      <c r="B44" s="5">
        <v>46047</v>
      </c>
      <c r="C44" s="2" t="s">
        <v>32</v>
      </c>
      <c r="D44" s="2" t="s">
        <v>37</v>
      </c>
      <c r="E44" s="2" t="s">
        <v>43</v>
      </c>
      <c r="F44" s="2" t="s">
        <v>86</v>
      </c>
      <c r="G44" s="2" t="s">
        <v>87</v>
      </c>
      <c r="H44" s="2" t="s">
        <v>234</v>
      </c>
      <c r="I44" s="6">
        <v>24.5</v>
      </c>
      <c r="J44" s="2" t="s">
        <v>44</v>
      </c>
    </row>
    <row r="45" spans="1:10" x14ac:dyDescent="0.2">
      <c r="A45" s="2" t="s">
        <v>235</v>
      </c>
      <c r="B45" s="2" t="s">
        <v>236</v>
      </c>
      <c r="C45" s="2" t="s">
        <v>46</v>
      </c>
      <c r="D45" s="2" t="s">
        <v>33</v>
      </c>
      <c r="E45" s="2" t="s">
        <v>43</v>
      </c>
      <c r="F45" s="2" t="s">
        <v>39</v>
      </c>
      <c r="G45" s="2" t="s">
        <v>40</v>
      </c>
      <c r="H45" s="2">
        <v>14</v>
      </c>
      <c r="I45" s="6">
        <v>76.5</v>
      </c>
      <c r="J45" s="2" t="s">
        <v>44</v>
      </c>
    </row>
    <row r="46" spans="1:10" x14ac:dyDescent="0.2">
      <c r="A46" s="2" t="s">
        <v>181</v>
      </c>
      <c r="B46" s="5">
        <v>46024</v>
      </c>
      <c r="C46" s="2" t="s">
        <v>32</v>
      </c>
      <c r="D46" s="2" t="s">
        <v>79</v>
      </c>
      <c r="E46" s="2" t="s">
        <v>38</v>
      </c>
      <c r="F46" s="2" t="s">
        <v>96</v>
      </c>
      <c r="G46" s="2" t="s">
        <v>40</v>
      </c>
      <c r="H46" s="2" t="s">
        <v>122</v>
      </c>
      <c r="I46" s="6">
        <v>189</v>
      </c>
      <c r="J46" s="2" t="s">
        <v>44</v>
      </c>
    </row>
    <row r="47" spans="1:10" x14ac:dyDescent="0.2">
      <c r="A47" s="2" t="s">
        <v>159</v>
      </c>
      <c r="B47" s="5">
        <v>46074</v>
      </c>
      <c r="C47" s="2" t="s">
        <v>84</v>
      </c>
      <c r="D47" s="2" t="s">
        <v>108</v>
      </c>
      <c r="E47" s="2" t="s">
        <v>65</v>
      </c>
      <c r="F47" s="2" t="s">
        <v>98</v>
      </c>
      <c r="G47" s="2" t="s">
        <v>69</v>
      </c>
      <c r="H47" s="2">
        <v>32</v>
      </c>
      <c r="I47" s="6">
        <v>12.25</v>
      </c>
      <c r="J47" s="2" t="s">
        <v>44</v>
      </c>
    </row>
    <row r="48" spans="1:10" x14ac:dyDescent="0.2">
      <c r="A48" s="2" t="s">
        <v>237</v>
      </c>
      <c r="B48" s="5">
        <v>46032</v>
      </c>
      <c r="C48" s="2" t="s">
        <v>83</v>
      </c>
      <c r="D48" s="2" t="s">
        <v>106</v>
      </c>
      <c r="E48" s="2" t="s">
        <v>61</v>
      </c>
      <c r="F48" s="2" t="s">
        <v>57</v>
      </c>
      <c r="G48" s="2" t="s">
        <v>40</v>
      </c>
      <c r="H48" s="2">
        <v>16</v>
      </c>
      <c r="I48" s="6">
        <v>340</v>
      </c>
      <c r="J48" s="2" t="s">
        <v>36</v>
      </c>
    </row>
    <row r="49" spans="1:10" x14ac:dyDescent="0.2">
      <c r="A49" s="2" t="s">
        <v>238</v>
      </c>
      <c r="B49" s="5">
        <v>46051</v>
      </c>
      <c r="C49" s="2" t="s">
        <v>132</v>
      </c>
      <c r="D49" s="2" t="s">
        <v>67</v>
      </c>
      <c r="E49" s="2" t="s">
        <v>38</v>
      </c>
      <c r="F49" s="2" t="s">
        <v>28</v>
      </c>
      <c r="G49" s="2" t="s">
        <v>29</v>
      </c>
      <c r="H49" s="2">
        <v>38</v>
      </c>
      <c r="I49" s="6">
        <v>94.75</v>
      </c>
      <c r="J49" s="2" t="s">
        <v>36</v>
      </c>
    </row>
    <row r="50" spans="1:10" x14ac:dyDescent="0.2">
      <c r="A50" s="2" t="s">
        <v>158</v>
      </c>
      <c r="B50" s="5">
        <v>46033</v>
      </c>
      <c r="C50" s="2" t="s">
        <v>53</v>
      </c>
      <c r="D50" s="2" t="s">
        <v>47</v>
      </c>
      <c r="E50" s="2" t="s">
        <v>80</v>
      </c>
      <c r="F50" s="2" t="s">
        <v>28</v>
      </c>
      <c r="G50" s="2" t="s">
        <v>29</v>
      </c>
      <c r="H50" s="2">
        <v>19</v>
      </c>
      <c r="I50" s="6">
        <v>94.75</v>
      </c>
      <c r="J50" s="2" t="s">
        <v>76</v>
      </c>
    </row>
    <row r="51" spans="1:10" x14ac:dyDescent="0.2">
      <c r="A51" s="2" t="s">
        <v>239</v>
      </c>
      <c r="B51" s="5">
        <v>46082</v>
      </c>
      <c r="C51" s="2" t="s">
        <v>50</v>
      </c>
      <c r="D51" s="2" t="s">
        <v>51</v>
      </c>
      <c r="E51" s="2" t="s">
        <v>43</v>
      </c>
      <c r="F51" s="2" t="s">
        <v>57</v>
      </c>
      <c r="G51" s="2" t="s">
        <v>40</v>
      </c>
      <c r="H51" s="2">
        <v>24</v>
      </c>
      <c r="I51" s="6">
        <v>340</v>
      </c>
      <c r="J51" s="2" t="s">
        <v>36</v>
      </c>
    </row>
    <row r="52" spans="1:10" x14ac:dyDescent="0.2">
      <c r="A52" s="2" t="s">
        <v>240</v>
      </c>
      <c r="B52" s="5">
        <v>46085</v>
      </c>
      <c r="C52" s="2" t="s">
        <v>59</v>
      </c>
      <c r="D52" s="2" t="s">
        <v>42</v>
      </c>
      <c r="E52" s="2" t="s">
        <v>38</v>
      </c>
      <c r="F52" s="2" t="s">
        <v>35</v>
      </c>
      <c r="G52" s="2" t="s">
        <v>29</v>
      </c>
      <c r="H52" s="2">
        <v>12</v>
      </c>
      <c r="I52" s="6">
        <v>68</v>
      </c>
      <c r="J52" s="2" t="s">
        <v>36</v>
      </c>
    </row>
    <row r="53" spans="1:10" x14ac:dyDescent="0.2">
      <c r="A53" s="2" t="s">
        <v>241</v>
      </c>
      <c r="B53" s="5">
        <v>46099</v>
      </c>
      <c r="C53" s="2" t="s">
        <v>70</v>
      </c>
      <c r="D53" s="2" t="s">
        <v>42</v>
      </c>
      <c r="E53" s="2" t="s">
        <v>143</v>
      </c>
      <c r="F53" s="2" t="s">
        <v>86</v>
      </c>
      <c r="G53" s="2" t="s">
        <v>87</v>
      </c>
      <c r="H53" s="2">
        <v>33</v>
      </c>
      <c r="I53" s="6">
        <v>24.5</v>
      </c>
      <c r="J53" s="2" t="s">
        <v>44</v>
      </c>
    </row>
    <row r="54" spans="1:10" x14ac:dyDescent="0.2">
      <c r="A54" s="2" t="s">
        <v>242</v>
      </c>
      <c r="B54" s="5">
        <v>46074</v>
      </c>
      <c r="C54" s="2" t="s">
        <v>129</v>
      </c>
      <c r="D54" s="2" t="s">
        <v>79</v>
      </c>
      <c r="E54" s="2" t="s">
        <v>65</v>
      </c>
      <c r="F54" s="2" t="s">
        <v>96</v>
      </c>
      <c r="G54" s="2" t="s">
        <v>40</v>
      </c>
      <c r="H54" s="2" t="s">
        <v>115</v>
      </c>
      <c r="I54" s="6">
        <v>189</v>
      </c>
      <c r="J54" s="2" t="s">
        <v>76</v>
      </c>
    </row>
    <row r="55" spans="1:10" x14ac:dyDescent="0.2">
      <c r="A55" s="2" t="s">
        <v>243</v>
      </c>
      <c r="B55" s="5">
        <v>46065</v>
      </c>
      <c r="C55" s="2" t="s">
        <v>53</v>
      </c>
      <c r="D55" s="2" t="s">
        <v>47</v>
      </c>
      <c r="E55" s="2" t="s">
        <v>34</v>
      </c>
      <c r="F55" s="2" t="s">
        <v>96</v>
      </c>
      <c r="G55" s="2" t="s">
        <v>40</v>
      </c>
      <c r="H55" s="2">
        <v>10</v>
      </c>
      <c r="I55" s="6">
        <v>189</v>
      </c>
      <c r="J55" s="2" t="s">
        <v>36</v>
      </c>
    </row>
    <row r="56" spans="1:10" x14ac:dyDescent="0.2">
      <c r="A56" s="2" t="s">
        <v>244</v>
      </c>
      <c r="B56" s="5">
        <v>46057</v>
      </c>
      <c r="C56" s="2" t="s">
        <v>89</v>
      </c>
      <c r="D56" s="2" t="s">
        <v>90</v>
      </c>
      <c r="E56" s="2" t="s">
        <v>34</v>
      </c>
      <c r="F56" s="2" t="s">
        <v>96</v>
      </c>
      <c r="G56" s="2" t="s">
        <v>40</v>
      </c>
      <c r="H56" s="2">
        <v>23</v>
      </c>
      <c r="I56" s="6">
        <v>189</v>
      </c>
      <c r="J56" s="2" t="s">
        <v>55</v>
      </c>
    </row>
    <row r="57" spans="1:10" x14ac:dyDescent="0.2">
      <c r="A57" s="2" t="s">
        <v>245</v>
      </c>
      <c r="B57" s="5">
        <v>46042</v>
      </c>
      <c r="C57" s="2" t="s">
        <v>50</v>
      </c>
      <c r="D57" s="2" t="s">
        <v>51</v>
      </c>
      <c r="E57" s="2" t="s">
        <v>27</v>
      </c>
      <c r="F57" s="2" t="s">
        <v>86</v>
      </c>
      <c r="G57" s="2" t="s">
        <v>87</v>
      </c>
      <c r="H57" s="2" t="s">
        <v>104</v>
      </c>
      <c r="I57" s="6">
        <v>24.5</v>
      </c>
      <c r="J57" s="2" t="s">
        <v>44</v>
      </c>
    </row>
    <row r="58" spans="1:10" x14ac:dyDescent="0.2">
      <c r="A58" s="2" t="s">
        <v>246</v>
      </c>
      <c r="B58" s="5">
        <v>46103</v>
      </c>
      <c r="C58" s="2" t="s">
        <v>60</v>
      </c>
      <c r="D58" s="2" t="s">
        <v>90</v>
      </c>
      <c r="E58" s="2" t="s">
        <v>43</v>
      </c>
      <c r="F58" s="2" t="s">
        <v>86</v>
      </c>
      <c r="G58" s="2" t="s">
        <v>87</v>
      </c>
      <c r="H58" s="2">
        <v>27</v>
      </c>
      <c r="I58" s="6">
        <v>24.5</v>
      </c>
      <c r="J58" s="2" t="s">
        <v>76</v>
      </c>
    </row>
    <row r="59" spans="1:10" x14ac:dyDescent="0.2">
      <c r="A59" s="2" t="s">
        <v>180</v>
      </c>
      <c r="B59" s="2" t="s">
        <v>247</v>
      </c>
      <c r="C59" s="2" t="s">
        <v>25</v>
      </c>
      <c r="D59" s="2" t="s">
        <v>102</v>
      </c>
      <c r="E59" s="2" t="s">
        <v>43</v>
      </c>
      <c r="F59" s="2" t="s">
        <v>39</v>
      </c>
      <c r="G59" s="2" t="s">
        <v>40</v>
      </c>
      <c r="H59" s="2">
        <v>17</v>
      </c>
      <c r="I59" s="6">
        <v>76.5</v>
      </c>
      <c r="J59" s="2" t="s">
        <v>76</v>
      </c>
    </row>
    <row r="60" spans="1:10" x14ac:dyDescent="0.2">
      <c r="A60" s="2" t="s">
        <v>180</v>
      </c>
      <c r="B60" s="2" t="s">
        <v>247</v>
      </c>
      <c r="C60" s="2" t="s">
        <v>25</v>
      </c>
      <c r="D60" s="2" t="s">
        <v>102</v>
      </c>
      <c r="E60" s="2" t="s">
        <v>43</v>
      </c>
      <c r="F60" s="2" t="s">
        <v>39</v>
      </c>
      <c r="G60" s="2" t="s">
        <v>40</v>
      </c>
      <c r="H60" s="2">
        <v>17</v>
      </c>
      <c r="I60" s="6">
        <v>76.5</v>
      </c>
      <c r="J60" s="2" t="s">
        <v>76</v>
      </c>
    </row>
    <row r="61" spans="1:10" x14ac:dyDescent="0.2">
      <c r="A61" s="2" t="s">
        <v>248</v>
      </c>
      <c r="B61" s="5">
        <v>46074</v>
      </c>
      <c r="C61" s="2" t="s">
        <v>50</v>
      </c>
      <c r="D61" s="2" t="s">
        <v>51</v>
      </c>
      <c r="E61" s="2" t="s">
        <v>43</v>
      </c>
      <c r="F61" s="2" t="s">
        <v>48</v>
      </c>
      <c r="G61" s="2" t="s">
        <v>49</v>
      </c>
      <c r="H61" s="2" t="s">
        <v>71</v>
      </c>
      <c r="I61" s="6">
        <v>44</v>
      </c>
      <c r="J61" s="2" t="s">
        <v>36</v>
      </c>
    </row>
    <row r="62" spans="1:10" x14ac:dyDescent="0.2">
      <c r="A62" s="2" t="s">
        <v>249</v>
      </c>
      <c r="B62" s="5">
        <v>46107</v>
      </c>
      <c r="C62" s="2" t="s">
        <v>32</v>
      </c>
      <c r="D62" s="2" t="s">
        <v>106</v>
      </c>
      <c r="E62" s="2" t="s">
        <v>65</v>
      </c>
      <c r="F62" s="2" t="s">
        <v>28</v>
      </c>
      <c r="G62" s="2" t="s">
        <v>29</v>
      </c>
      <c r="H62" s="2" t="s">
        <v>130</v>
      </c>
      <c r="I62" s="2" t="s">
        <v>30</v>
      </c>
      <c r="J62" s="2" t="s">
        <v>76</v>
      </c>
    </row>
    <row r="63" spans="1:10" x14ac:dyDescent="0.2">
      <c r="A63" s="2" t="s">
        <v>250</v>
      </c>
      <c r="B63" s="5">
        <v>46073</v>
      </c>
      <c r="C63" s="2" t="s">
        <v>25</v>
      </c>
      <c r="D63" s="2" t="s">
        <v>67</v>
      </c>
      <c r="E63" s="2" t="s">
        <v>27</v>
      </c>
      <c r="F63" s="2" t="s">
        <v>98</v>
      </c>
      <c r="G63" s="2" t="s">
        <v>69</v>
      </c>
      <c r="H63" s="2">
        <v>26</v>
      </c>
      <c r="I63" s="6">
        <v>12.25</v>
      </c>
      <c r="J63" s="2" t="s">
        <v>76</v>
      </c>
    </row>
    <row r="64" spans="1:10" x14ac:dyDescent="0.2">
      <c r="A64" s="2" t="s">
        <v>167</v>
      </c>
      <c r="B64" s="5">
        <v>46024</v>
      </c>
      <c r="C64" s="2" t="s">
        <v>129</v>
      </c>
      <c r="D64" s="2" t="s">
        <v>67</v>
      </c>
      <c r="E64" s="2" t="s">
        <v>27</v>
      </c>
      <c r="F64" s="2" t="s">
        <v>86</v>
      </c>
      <c r="G64" s="2" t="s">
        <v>87</v>
      </c>
      <c r="H64" s="2">
        <v>15</v>
      </c>
      <c r="I64" s="6">
        <v>24.5</v>
      </c>
      <c r="J64" s="2" t="s">
        <v>76</v>
      </c>
    </row>
    <row r="65" spans="1:10" x14ac:dyDescent="0.2">
      <c r="A65" s="2" t="s">
        <v>216</v>
      </c>
      <c r="B65" s="5">
        <v>46049</v>
      </c>
      <c r="C65" s="2" t="s">
        <v>25</v>
      </c>
      <c r="D65" s="2" t="s">
        <v>64</v>
      </c>
      <c r="E65" s="2"/>
      <c r="F65" s="2" t="s">
        <v>48</v>
      </c>
      <c r="G65" s="2" t="s">
        <v>49</v>
      </c>
      <c r="H65" s="2">
        <v>5</v>
      </c>
      <c r="I65" s="2" t="s">
        <v>74</v>
      </c>
      <c r="J65" s="2" t="s">
        <v>36</v>
      </c>
    </row>
    <row r="66" spans="1:10" x14ac:dyDescent="0.2">
      <c r="A66" s="2" t="s">
        <v>251</v>
      </c>
      <c r="B66" s="5">
        <v>46088</v>
      </c>
      <c r="C66" s="2" t="s">
        <v>89</v>
      </c>
      <c r="D66" s="2" t="s">
        <v>42</v>
      </c>
      <c r="E66" s="2" t="s">
        <v>65</v>
      </c>
      <c r="F66" s="2" t="s">
        <v>39</v>
      </c>
      <c r="G66" s="2" t="s">
        <v>40</v>
      </c>
      <c r="H66" s="2">
        <v>5</v>
      </c>
      <c r="I66" s="6">
        <v>76.5</v>
      </c>
      <c r="J66" s="2" t="s">
        <v>36</v>
      </c>
    </row>
    <row r="67" spans="1:10" x14ac:dyDescent="0.2">
      <c r="A67" s="2" t="s">
        <v>252</v>
      </c>
      <c r="B67" s="5">
        <v>46028</v>
      </c>
      <c r="C67" s="2" t="s">
        <v>50</v>
      </c>
      <c r="D67" s="2" t="s">
        <v>90</v>
      </c>
      <c r="E67" s="2" t="s">
        <v>52</v>
      </c>
      <c r="F67" s="2" t="s">
        <v>35</v>
      </c>
      <c r="G67" s="2" t="s">
        <v>29</v>
      </c>
      <c r="H67" s="2">
        <v>30</v>
      </c>
      <c r="I67" s="6">
        <v>68</v>
      </c>
      <c r="J67" s="2" t="s">
        <v>36</v>
      </c>
    </row>
    <row r="68" spans="1:10" x14ac:dyDescent="0.2">
      <c r="A68" s="2" t="s">
        <v>253</v>
      </c>
      <c r="B68" s="2" t="s">
        <v>254</v>
      </c>
      <c r="C68" s="2" t="s">
        <v>95</v>
      </c>
      <c r="D68" s="2" t="s">
        <v>88</v>
      </c>
      <c r="E68" s="2" t="s">
        <v>65</v>
      </c>
      <c r="F68" s="2" t="s">
        <v>98</v>
      </c>
      <c r="G68" s="2" t="s">
        <v>69</v>
      </c>
      <c r="H68" s="2" t="s">
        <v>113</v>
      </c>
      <c r="I68" s="6">
        <v>12.25</v>
      </c>
      <c r="J68" s="2" t="s">
        <v>36</v>
      </c>
    </row>
    <row r="69" spans="1:10" x14ac:dyDescent="0.2">
      <c r="A69" s="2" t="s">
        <v>255</v>
      </c>
      <c r="B69" s="5">
        <v>46035</v>
      </c>
      <c r="C69" s="2" t="s">
        <v>46</v>
      </c>
      <c r="D69" s="2" t="s">
        <v>47</v>
      </c>
      <c r="E69" s="2" t="s">
        <v>80</v>
      </c>
      <c r="F69" s="2" t="s">
        <v>48</v>
      </c>
      <c r="G69" s="2" t="s">
        <v>49</v>
      </c>
      <c r="H69" s="2">
        <v>14</v>
      </c>
      <c r="I69" s="2" t="s">
        <v>74</v>
      </c>
      <c r="J69" s="2" t="s">
        <v>55</v>
      </c>
    </row>
    <row r="70" spans="1:10" x14ac:dyDescent="0.2">
      <c r="A70" s="2" t="s">
        <v>256</v>
      </c>
      <c r="B70" s="5">
        <v>46053</v>
      </c>
      <c r="C70" s="2" t="s">
        <v>84</v>
      </c>
      <c r="D70" s="2" t="s">
        <v>63</v>
      </c>
      <c r="E70" s="2" t="s">
        <v>38</v>
      </c>
      <c r="F70" s="2" t="s">
        <v>54</v>
      </c>
      <c r="G70" s="2" t="s">
        <v>49</v>
      </c>
      <c r="H70" s="2">
        <v>15</v>
      </c>
      <c r="I70" s="6">
        <v>21.99</v>
      </c>
      <c r="J70" s="2" t="s">
        <v>31</v>
      </c>
    </row>
    <row r="71" spans="1:10" x14ac:dyDescent="0.2">
      <c r="A71" s="2" t="s">
        <v>257</v>
      </c>
      <c r="B71" s="5">
        <v>46088</v>
      </c>
      <c r="C71" s="2" t="s">
        <v>112</v>
      </c>
      <c r="D71" s="2" t="s">
        <v>67</v>
      </c>
      <c r="E71" s="2" t="s">
        <v>38</v>
      </c>
      <c r="F71" s="2" t="s">
        <v>57</v>
      </c>
      <c r="G71" s="2" t="s">
        <v>40</v>
      </c>
      <c r="H71" s="2">
        <v>20</v>
      </c>
      <c r="I71" s="6">
        <v>340</v>
      </c>
      <c r="J71" s="2" t="s">
        <v>44</v>
      </c>
    </row>
    <row r="72" spans="1:10" x14ac:dyDescent="0.2">
      <c r="A72" s="2" t="s">
        <v>258</v>
      </c>
      <c r="B72" s="2" t="s">
        <v>259</v>
      </c>
      <c r="C72" s="2" t="s">
        <v>60</v>
      </c>
      <c r="D72" s="2" t="s">
        <v>90</v>
      </c>
      <c r="E72" s="2" t="s">
        <v>38</v>
      </c>
      <c r="F72" s="2" t="s">
        <v>54</v>
      </c>
      <c r="G72" s="2" t="s">
        <v>49</v>
      </c>
      <c r="H72" s="2">
        <v>11</v>
      </c>
      <c r="I72" s="6">
        <v>21.99</v>
      </c>
      <c r="J72" s="2" t="s">
        <v>36</v>
      </c>
    </row>
    <row r="73" spans="1:10" x14ac:dyDescent="0.2">
      <c r="A73" s="2" t="s">
        <v>260</v>
      </c>
      <c r="B73" s="5">
        <v>46066</v>
      </c>
      <c r="C73" s="2" t="s">
        <v>70</v>
      </c>
      <c r="D73" s="2" t="s">
        <v>88</v>
      </c>
      <c r="E73" s="2" t="s">
        <v>27</v>
      </c>
      <c r="F73" s="2" t="s">
        <v>39</v>
      </c>
      <c r="G73" s="2" t="s">
        <v>40</v>
      </c>
      <c r="H73" s="2" t="s">
        <v>261</v>
      </c>
      <c r="I73" s="6">
        <v>76.5</v>
      </c>
      <c r="J73" s="2" t="s">
        <v>36</v>
      </c>
    </row>
    <row r="74" spans="1:10" x14ac:dyDescent="0.2">
      <c r="A74" s="2" t="s">
        <v>262</v>
      </c>
      <c r="B74" s="5">
        <v>46102</v>
      </c>
      <c r="C74" s="2" t="s">
        <v>53</v>
      </c>
      <c r="D74" s="2" t="s">
        <v>47</v>
      </c>
      <c r="E74" s="2" t="s">
        <v>43</v>
      </c>
      <c r="F74" s="2" t="s">
        <v>54</v>
      </c>
      <c r="G74" s="2" t="s">
        <v>49</v>
      </c>
      <c r="H74" s="2">
        <v>14</v>
      </c>
      <c r="I74" s="6">
        <v>21.99</v>
      </c>
      <c r="J74" s="2" t="s">
        <v>36</v>
      </c>
    </row>
    <row r="75" spans="1:10" x14ac:dyDescent="0.2">
      <c r="A75" s="2" t="s">
        <v>263</v>
      </c>
      <c r="B75" s="2" t="s">
        <v>264</v>
      </c>
      <c r="C75" s="2" t="s">
        <v>25</v>
      </c>
      <c r="D75" s="2" t="s">
        <v>26</v>
      </c>
      <c r="E75" s="2" t="s">
        <v>61</v>
      </c>
      <c r="F75" s="2" t="s">
        <v>68</v>
      </c>
      <c r="G75" s="2" t="s">
        <v>69</v>
      </c>
      <c r="H75" s="2">
        <v>39</v>
      </c>
      <c r="I75" s="6">
        <v>18.399999999999999</v>
      </c>
      <c r="J75" s="2" t="s">
        <v>44</v>
      </c>
    </row>
    <row r="76" spans="1:10" x14ac:dyDescent="0.2">
      <c r="A76" s="2" t="s">
        <v>265</v>
      </c>
      <c r="B76" s="5">
        <v>46086</v>
      </c>
      <c r="C76" s="2" t="s">
        <v>56</v>
      </c>
      <c r="D76" s="2" t="s">
        <v>64</v>
      </c>
      <c r="E76" s="2" t="s">
        <v>85</v>
      </c>
      <c r="F76" s="2" t="s">
        <v>28</v>
      </c>
      <c r="G76" s="2" t="s">
        <v>29</v>
      </c>
      <c r="H76" s="2">
        <v>10</v>
      </c>
      <c r="I76" s="6">
        <v>94.75</v>
      </c>
      <c r="J76" s="2" t="s">
        <v>36</v>
      </c>
    </row>
    <row r="77" spans="1:10" x14ac:dyDescent="0.2">
      <c r="A77" s="2" t="s">
        <v>189</v>
      </c>
      <c r="B77" s="5">
        <v>46083</v>
      </c>
      <c r="C77" s="2" t="s">
        <v>89</v>
      </c>
      <c r="D77" s="2" t="s">
        <v>26</v>
      </c>
      <c r="E77" s="2"/>
      <c r="F77" s="2" t="s">
        <v>39</v>
      </c>
      <c r="G77" s="2" t="s">
        <v>40</v>
      </c>
      <c r="H77" s="2">
        <v>19</v>
      </c>
      <c r="I77" s="2" t="s">
        <v>93</v>
      </c>
      <c r="J77" s="2" t="s">
        <v>44</v>
      </c>
    </row>
    <row r="78" spans="1:10" x14ac:dyDescent="0.2">
      <c r="A78" s="2" t="s">
        <v>266</v>
      </c>
      <c r="B78" s="5">
        <v>46075</v>
      </c>
      <c r="C78" s="2" t="s">
        <v>141</v>
      </c>
      <c r="D78" s="2" t="s">
        <v>33</v>
      </c>
      <c r="E78" s="2" t="s">
        <v>27</v>
      </c>
      <c r="F78" s="2" t="s">
        <v>39</v>
      </c>
      <c r="G78" s="2" t="s">
        <v>40</v>
      </c>
      <c r="H78" s="2">
        <v>25</v>
      </c>
      <c r="I78" s="6">
        <v>76.5</v>
      </c>
      <c r="J78" s="2" t="s">
        <v>36</v>
      </c>
    </row>
    <row r="79" spans="1:10" x14ac:dyDescent="0.2">
      <c r="A79" s="2" t="s">
        <v>267</v>
      </c>
      <c r="B79" s="5">
        <v>46030</v>
      </c>
      <c r="C79" s="2" t="s">
        <v>97</v>
      </c>
      <c r="D79" s="2" t="s">
        <v>73</v>
      </c>
      <c r="E79" s="2" t="s">
        <v>43</v>
      </c>
      <c r="F79" s="2" t="s">
        <v>48</v>
      </c>
      <c r="G79" s="2" t="s">
        <v>49</v>
      </c>
      <c r="H79" s="2">
        <v>27</v>
      </c>
      <c r="I79" s="6">
        <v>44</v>
      </c>
      <c r="J79" s="2" t="s">
        <v>36</v>
      </c>
    </row>
    <row r="80" spans="1:10" x14ac:dyDescent="0.2">
      <c r="A80" s="2" t="s">
        <v>268</v>
      </c>
      <c r="B80" s="5">
        <v>46024</v>
      </c>
      <c r="C80" s="2" t="s">
        <v>78</v>
      </c>
      <c r="D80" s="2" t="s">
        <v>37</v>
      </c>
      <c r="E80" s="2" t="s">
        <v>27</v>
      </c>
      <c r="F80" s="2" t="s">
        <v>35</v>
      </c>
      <c r="G80" s="2" t="s">
        <v>29</v>
      </c>
      <c r="H80" s="2">
        <v>9</v>
      </c>
      <c r="I80" s="6">
        <v>68</v>
      </c>
      <c r="J80" s="2" t="s">
        <v>36</v>
      </c>
    </row>
    <row r="81" spans="1:10" x14ac:dyDescent="0.2">
      <c r="A81" s="2" t="s">
        <v>238</v>
      </c>
      <c r="B81" s="5">
        <v>46051</v>
      </c>
      <c r="C81" s="2" t="s">
        <v>132</v>
      </c>
      <c r="D81" s="2" t="s">
        <v>67</v>
      </c>
      <c r="E81" s="2" t="s">
        <v>38</v>
      </c>
      <c r="F81" s="2" t="s">
        <v>28</v>
      </c>
      <c r="G81" s="2" t="s">
        <v>29</v>
      </c>
      <c r="H81" s="2">
        <v>38</v>
      </c>
      <c r="I81" s="6">
        <v>94.75</v>
      </c>
      <c r="J81" s="2" t="s">
        <v>36</v>
      </c>
    </row>
    <row r="82" spans="1:10" x14ac:dyDescent="0.2">
      <c r="A82" s="2" t="s">
        <v>269</v>
      </c>
      <c r="B82" s="5">
        <v>46094</v>
      </c>
      <c r="C82" s="2" t="s">
        <v>60</v>
      </c>
      <c r="D82" s="2" t="s">
        <v>63</v>
      </c>
      <c r="E82" s="2" t="s">
        <v>43</v>
      </c>
      <c r="F82" s="2" t="s">
        <v>86</v>
      </c>
      <c r="G82" s="2" t="s">
        <v>87</v>
      </c>
      <c r="H82" s="2">
        <v>5</v>
      </c>
      <c r="I82" s="6">
        <v>24.5</v>
      </c>
      <c r="J82" s="2" t="s">
        <v>44</v>
      </c>
    </row>
    <row r="83" spans="1:10" x14ac:dyDescent="0.2">
      <c r="A83" s="2" t="s">
        <v>270</v>
      </c>
      <c r="B83" s="2" t="s">
        <v>271</v>
      </c>
      <c r="C83" s="2" t="s">
        <v>89</v>
      </c>
      <c r="D83" s="2" t="s">
        <v>88</v>
      </c>
      <c r="E83" s="2" t="s">
        <v>61</v>
      </c>
      <c r="F83" s="2" t="s">
        <v>39</v>
      </c>
      <c r="G83" s="2" t="s">
        <v>40</v>
      </c>
      <c r="H83" s="2">
        <v>24</v>
      </c>
      <c r="I83" s="2" t="s">
        <v>93</v>
      </c>
      <c r="J83" s="2" t="s">
        <v>36</v>
      </c>
    </row>
    <row r="84" spans="1:10" x14ac:dyDescent="0.2">
      <c r="A84" s="2" t="s">
        <v>272</v>
      </c>
      <c r="B84" s="5">
        <v>46030</v>
      </c>
      <c r="C84" s="2" t="s">
        <v>53</v>
      </c>
      <c r="D84" s="2" t="s">
        <v>67</v>
      </c>
      <c r="E84" s="2" t="s">
        <v>38</v>
      </c>
      <c r="F84" s="2" t="s">
        <v>86</v>
      </c>
      <c r="G84" s="2" t="s">
        <v>87</v>
      </c>
      <c r="H84" s="2" t="s">
        <v>273</v>
      </c>
      <c r="I84" s="6">
        <v>24.5</v>
      </c>
      <c r="J84" s="2" t="s">
        <v>36</v>
      </c>
    </row>
    <row r="85" spans="1:10" x14ac:dyDescent="0.2">
      <c r="A85" s="2" t="s">
        <v>168</v>
      </c>
      <c r="B85" s="5">
        <v>46101</v>
      </c>
      <c r="C85" s="2" t="s">
        <v>60</v>
      </c>
      <c r="D85" s="2" t="s">
        <v>73</v>
      </c>
      <c r="E85" s="2" t="s">
        <v>65</v>
      </c>
      <c r="F85" s="2" t="s">
        <v>39</v>
      </c>
      <c r="G85" s="2" t="s">
        <v>40</v>
      </c>
      <c r="H85" s="2">
        <v>34</v>
      </c>
      <c r="I85" s="2" t="s">
        <v>93</v>
      </c>
      <c r="J85" s="2" t="s">
        <v>36</v>
      </c>
    </row>
    <row r="86" spans="1:10" x14ac:dyDescent="0.2">
      <c r="A86" s="2" t="s">
        <v>274</v>
      </c>
      <c r="B86" s="5">
        <v>46069</v>
      </c>
      <c r="C86" s="2" t="s">
        <v>60</v>
      </c>
      <c r="D86" s="2" t="s">
        <v>88</v>
      </c>
      <c r="E86" s="2" t="s">
        <v>38</v>
      </c>
      <c r="F86" s="2" t="s">
        <v>39</v>
      </c>
      <c r="G86" s="2" t="s">
        <v>40</v>
      </c>
      <c r="H86" s="2">
        <v>21</v>
      </c>
      <c r="I86" s="2" t="s">
        <v>93</v>
      </c>
      <c r="J86" s="2" t="s">
        <v>76</v>
      </c>
    </row>
    <row r="87" spans="1:10" x14ac:dyDescent="0.2">
      <c r="A87" s="2" t="s">
        <v>171</v>
      </c>
      <c r="B87" s="5">
        <v>46060</v>
      </c>
      <c r="C87" s="2" t="s">
        <v>50</v>
      </c>
      <c r="D87" s="2" t="s">
        <v>108</v>
      </c>
      <c r="E87" s="2" t="s">
        <v>65</v>
      </c>
      <c r="F87" s="2" t="s">
        <v>28</v>
      </c>
      <c r="G87" s="2" t="s">
        <v>29</v>
      </c>
      <c r="H87" s="2">
        <v>12</v>
      </c>
      <c r="I87" s="6">
        <v>94.75</v>
      </c>
      <c r="J87" s="2" t="s">
        <v>55</v>
      </c>
    </row>
    <row r="88" spans="1:10" x14ac:dyDescent="0.2">
      <c r="A88" s="2" t="s">
        <v>275</v>
      </c>
      <c r="B88" s="5">
        <v>46068</v>
      </c>
      <c r="C88" s="2" t="s">
        <v>59</v>
      </c>
      <c r="D88" s="2" t="s">
        <v>63</v>
      </c>
      <c r="E88" s="2" t="s">
        <v>38</v>
      </c>
      <c r="F88" s="2" t="s">
        <v>96</v>
      </c>
      <c r="G88" s="2" t="s">
        <v>40</v>
      </c>
      <c r="H88" s="2" t="s">
        <v>71</v>
      </c>
      <c r="I88" s="6">
        <v>189</v>
      </c>
      <c r="J88" s="2" t="s">
        <v>44</v>
      </c>
    </row>
    <row r="89" spans="1:10" x14ac:dyDescent="0.2">
      <c r="A89" s="2" t="s">
        <v>178</v>
      </c>
      <c r="B89" s="5">
        <v>46066</v>
      </c>
      <c r="C89" s="2" t="s">
        <v>25</v>
      </c>
      <c r="D89" s="2" t="s">
        <v>79</v>
      </c>
      <c r="E89" s="2" t="s">
        <v>38</v>
      </c>
      <c r="F89" s="2" t="s">
        <v>54</v>
      </c>
      <c r="G89" s="2" t="s">
        <v>49</v>
      </c>
      <c r="H89" s="2">
        <v>1</v>
      </c>
      <c r="I89" s="6">
        <v>21.99</v>
      </c>
      <c r="J89" s="2" t="s">
        <v>36</v>
      </c>
    </row>
    <row r="90" spans="1:10" x14ac:dyDescent="0.2">
      <c r="A90" s="2" t="s">
        <v>165</v>
      </c>
      <c r="B90" s="5">
        <v>46085</v>
      </c>
      <c r="C90" s="2" t="s">
        <v>89</v>
      </c>
      <c r="D90" s="2" t="s">
        <v>90</v>
      </c>
      <c r="E90" s="2"/>
      <c r="F90" s="2" t="s">
        <v>54</v>
      </c>
      <c r="G90" s="2" t="s">
        <v>49</v>
      </c>
      <c r="H90" s="2">
        <v>2</v>
      </c>
      <c r="I90" s="2" t="s">
        <v>126</v>
      </c>
      <c r="J90" s="2" t="s">
        <v>55</v>
      </c>
    </row>
    <row r="91" spans="1:10" x14ac:dyDescent="0.2">
      <c r="A91" s="2" t="s">
        <v>276</v>
      </c>
      <c r="B91" s="5">
        <v>46077</v>
      </c>
      <c r="C91" s="2" t="s">
        <v>70</v>
      </c>
      <c r="D91" s="2" t="s">
        <v>63</v>
      </c>
      <c r="E91" s="2" t="s">
        <v>34</v>
      </c>
      <c r="F91" s="2" t="s">
        <v>57</v>
      </c>
      <c r="G91" s="2" t="s">
        <v>40</v>
      </c>
      <c r="H91" s="2" t="s">
        <v>277</v>
      </c>
      <c r="I91" s="6">
        <v>340</v>
      </c>
      <c r="J91" s="2" t="s">
        <v>36</v>
      </c>
    </row>
    <row r="92" spans="1:10" x14ac:dyDescent="0.2">
      <c r="A92" s="2" t="s">
        <v>188</v>
      </c>
      <c r="B92" s="2" t="s">
        <v>278</v>
      </c>
      <c r="C92" s="2" t="s">
        <v>41</v>
      </c>
      <c r="D92" s="2" t="s">
        <v>51</v>
      </c>
      <c r="E92" s="2" t="s">
        <v>85</v>
      </c>
      <c r="F92" s="2" t="s">
        <v>68</v>
      </c>
      <c r="G92" s="2" t="s">
        <v>69</v>
      </c>
      <c r="H92" s="2">
        <v>38</v>
      </c>
      <c r="I92" s="6">
        <v>18.399999999999999</v>
      </c>
      <c r="J92" s="2" t="s">
        <v>36</v>
      </c>
    </row>
    <row r="93" spans="1:10" x14ac:dyDescent="0.2">
      <c r="A93" s="2" t="s">
        <v>279</v>
      </c>
      <c r="B93" s="2" t="s">
        <v>236</v>
      </c>
      <c r="C93" s="2" t="s">
        <v>41</v>
      </c>
      <c r="D93" s="2" t="s">
        <v>90</v>
      </c>
      <c r="E93" s="2" t="s">
        <v>38</v>
      </c>
      <c r="F93" s="2" t="s">
        <v>54</v>
      </c>
      <c r="G93" s="2" t="s">
        <v>49</v>
      </c>
      <c r="H93" s="2">
        <v>31</v>
      </c>
      <c r="I93" s="2" t="s">
        <v>126</v>
      </c>
      <c r="J93" s="2" t="s">
        <v>44</v>
      </c>
    </row>
    <row r="94" spans="1:10" x14ac:dyDescent="0.2">
      <c r="A94" s="2" t="s">
        <v>280</v>
      </c>
      <c r="B94" s="5">
        <v>46027</v>
      </c>
      <c r="C94" s="2" t="s">
        <v>41</v>
      </c>
      <c r="D94" s="2" t="s">
        <v>63</v>
      </c>
      <c r="E94" s="2" t="s">
        <v>27</v>
      </c>
      <c r="F94" s="2" t="s">
        <v>28</v>
      </c>
      <c r="G94" s="2" t="s">
        <v>29</v>
      </c>
      <c r="H94" s="2">
        <v>29</v>
      </c>
      <c r="I94" s="6">
        <v>94.75</v>
      </c>
      <c r="J94" s="2" t="s">
        <v>31</v>
      </c>
    </row>
    <row r="95" spans="1:10" x14ac:dyDescent="0.2">
      <c r="A95" s="2" t="s">
        <v>281</v>
      </c>
      <c r="B95" s="2" t="s">
        <v>282</v>
      </c>
      <c r="C95" s="2" t="s">
        <v>59</v>
      </c>
      <c r="D95" s="2" t="s">
        <v>90</v>
      </c>
      <c r="E95" s="2" t="s">
        <v>43</v>
      </c>
      <c r="F95" s="2" t="s">
        <v>98</v>
      </c>
      <c r="G95" s="2" t="s">
        <v>69</v>
      </c>
      <c r="H95" s="2">
        <v>22</v>
      </c>
      <c r="I95" s="6">
        <v>12.25</v>
      </c>
      <c r="J95" s="2" t="s">
        <v>36</v>
      </c>
    </row>
    <row r="96" spans="1:10" x14ac:dyDescent="0.2">
      <c r="A96" s="2" t="s">
        <v>283</v>
      </c>
      <c r="B96" s="5">
        <v>46096</v>
      </c>
      <c r="C96" s="2" t="s">
        <v>92</v>
      </c>
      <c r="D96" s="2" t="s">
        <v>88</v>
      </c>
      <c r="E96" s="2" t="s">
        <v>52</v>
      </c>
      <c r="F96" s="2" t="s">
        <v>86</v>
      </c>
      <c r="G96" s="2" t="s">
        <v>87</v>
      </c>
      <c r="H96" s="2" t="s">
        <v>71</v>
      </c>
      <c r="I96" s="6">
        <v>24.5</v>
      </c>
      <c r="J96" s="2" t="s">
        <v>44</v>
      </c>
    </row>
    <row r="97" spans="1:10" x14ac:dyDescent="0.2">
      <c r="A97" s="2" t="s">
        <v>284</v>
      </c>
      <c r="B97" s="5">
        <v>46107</v>
      </c>
      <c r="C97" s="2" t="s">
        <v>83</v>
      </c>
      <c r="D97" s="2" t="s">
        <v>64</v>
      </c>
      <c r="E97" s="2" t="s">
        <v>43</v>
      </c>
      <c r="F97" s="2" t="s">
        <v>57</v>
      </c>
      <c r="G97" s="2" t="s">
        <v>40</v>
      </c>
      <c r="H97" s="2">
        <v>31</v>
      </c>
      <c r="I97" s="6">
        <v>340</v>
      </c>
      <c r="J97" s="2" t="s">
        <v>55</v>
      </c>
    </row>
    <row r="98" spans="1:10" x14ac:dyDescent="0.2">
      <c r="A98" s="2" t="s">
        <v>172</v>
      </c>
      <c r="B98" s="5">
        <v>46090</v>
      </c>
      <c r="C98" s="2" t="s">
        <v>129</v>
      </c>
      <c r="D98" s="2" t="s">
        <v>106</v>
      </c>
      <c r="E98" s="2" t="s">
        <v>27</v>
      </c>
      <c r="F98" s="2" t="s">
        <v>86</v>
      </c>
      <c r="G98" s="2" t="s">
        <v>87</v>
      </c>
      <c r="H98" s="2">
        <v>32</v>
      </c>
      <c r="I98" s="6">
        <v>24.5</v>
      </c>
      <c r="J98" s="2" t="s">
        <v>36</v>
      </c>
    </row>
    <row r="99" spans="1:10" x14ac:dyDescent="0.2">
      <c r="A99" s="2" t="s">
        <v>285</v>
      </c>
      <c r="B99" s="5">
        <v>46050</v>
      </c>
      <c r="C99" s="2" t="s">
        <v>32</v>
      </c>
      <c r="D99" s="2" t="s">
        <v>51</v>
      </c>
      <c r="E99" s="2" t="s">
        <v>27</v>
      </c>
      <c r="F99" s="2" t="s">
        <v>28</v>
      </c>
      <c r="G99" s="2" t="s">
        <v>29</v>
      </c>
      <c r="H99" s="2" t="s">
        <v>234</v>
      </c>
      <c r="I99" s="2" t="s">
        <v>30</v>
      </c>
      <c r="J99" s="2" t="s">
        <v>76</v>
      </c>
    </row>
    <row r="100" spans="1:10" x14ac:dyDescent="0.2">
      <c r="A100" s="2" t="s">
        <v>286</v>
      </c>
      <c r="B100" s="5">
        <v>46031</v>
      </c>
      <c r="C100" s="2" t="s">
        <v>70</v>
      </c>
      <c r="D100" s="2" t="s">
        <v>108</v>
      </c>
      <c r="E100" s="2" t="s">
        <v>38</v>
      </c>
      <c r="F100" s="2" t="s">
        <v>39</v>
      </c>
      <c r="G100" s="2" t="s">
        <v>40</v>
      </c>
      <c r="H100" s="2">
        <v>31</v>
      </c>
      <c r="I100" s="6">
        <v>76.5</v>
      </c>
      <c r="J100" s="2" t="s">
        <v>36</v>
      </c>
    </row>
    <row r="101" spans="1:10" x14ac:dyDescent="0.2">
      <c r="A101" s="2" t="s">
        <v>287</v>
      </c>
      <c r="B101" s="5">
        <v>46069</v>
      </c>
      <c r="C101" s="2" t="s">
        <v>46</v>
      </c>
      <c r="D101" s="2" t="s">
        <v>42</v>
      </c>
      <c r="E101" s="2" t="s">
        <v>65</v>
      </c>
      <c r="F101" s="2" t="s">
        <v>28</v>
      </c>
      <c r="G101" s="2" t="s">
        <v>29</v>
      </c>
      <c r="H101" s="2">
        <v>20</v>
      </c>
      <c r="I101" s="6">
        <v>94.75</v>
      </c>
      <c r="J101" s="2" t="s">
        <v>76</v>
      </c>
    </row>
    <row r="102" spans="1:10" x14ac:dyDescent="0.2">
      <c r="A102" s="2" t="s">
        <v>163</v>
      </c>
      <c r="B102" s="5">
        <v>46098</v>
      </c>
      <c r="C102" s="2" t="s">
        <v>83</v>
      </c>
      <c r="D102" s="2" t="s">
        <v>79</v>
      </c>
      <c r="E102" s="2" t="s">
        <v>38</v>
      </c>
      <c r="F102" s="2" t="s">
        <v>68</v>
      </c>
      <c r="G102" s="2" t="s">
        <v>69</v>
      </c>
      <c r="H102" s="2">
        <v>9</v>
      </c>
      <c r="I102" s="6">
        <v>18.399999999999999</v>
      </c>
      <c r="J102" s="2" t="s">
        <v>44</v>
      </c>
    </row>
    <row r="103" spans="1:10" x14ac:dyDescent="0.2">
      <c r="A103" s="2" t="s">
        <v>288</v>
      </c>
      <c r="B103" s="5">
        <v>46058</v>
      </c>
      <c r="C103" s="2" t="s">
        <v>41</v>
      </c>
      <c r="D103" s="2" t="s">
        <v>73</v>
      </c>
      <c r="E103" s="2"/>
      <c r="F103" s="2" t="s">
        <v>68</v>
      </c>
      <c r="G103" s="2" t="s">
        <v>69</v>
      </c>
      <c r="H103" s="2">
        <v>39</v>
      </c>
      <c r="I103" s="2" t="s">
        <v>81</v>
      </c>
      <c r="J103" s="2" t="s">
        <v>55</v>
      </c>
    </row>
    <row r="104" spans="1:10" x14ac:dyDescent="0.2">
      <c r="A104" s="2" t="s">
        <v>289</v>
      </c>
      <c r="B104" s="5">
        <v>46072</v>
      </c>
      <c r="C104" s="2" t="s">
        <v>32</v>
      </c>
      <c r="D104" s="2" t="s">
        <v>63</v>
      </c>
      <c r="E104" s="2" t="s">
        <v>38</v>
      </c>
      <c r="F104" s="2" t="s">
        <v>57</v>
      </c>
      <c r="G104" s="2" t="s">
        <v>40</v>
      </c>
      <c r="H104" s="2">
        <v>15</v>
      </c>
      <c r="I104" s="6">
        <v>340</v>
      </c>
      <c r="J104" s="2" t="s">
        <v>44</v>
      </c>
    </row>
    <row r="105" spans="1:10" x14ac:dyDescent="0.2">
      <c r="A105" s="2" t="s">
        <v>290</v>
      </c>
      <c r="B105" s="5">
        <v>46051</v>
      </c>
      <c r="C105" s="2" t="s">
        <v>60</v>
      </c>
      <c r="D105" s="2" t="s">
        <v>51</v>
      </c>
      <c r="E105" s="2" t="s">
        <v>43</v>
      </c>
      <c r="F105" s="2" t="s">
        <v>57</v>
      </c>
      <c r="G105" s="2" t="s">
        <v>40</v>
      </c>
      <c r="H105" s="2">
        <v>28</v>
      </c>
      <c r="I105" s="2" t="s">
        <v>58</v>
      </c>
      <c r="J105" s="2" t="s">
        <v>31</v>
      </c>
    </row>
    <row r="106" spans="1:10" x14ac:dyDescent="0.2">
      <c r="A106" s="2" t="s">
        <v>291</v>
      </c>
      <c r="B106" s="5">
        <v>46050</v>
      </c>
      <c r="C106" s="2" t="s">
        <v>137</v>
      </c>
      <c r="D106" s="2" t="s">
        <v>26</v>
      </c>
      <c r="E106" s="2" t="s">
        <v>34</v>
      </c>
      <c r="F106" s="2" t="s">
        <v>98</v>
      </c>
      <c r="G106" s="2" t="s">
        <v>69</v>
      </c>
      <c r="H106" s="2">
        <v>34</v>
      </c>
      <c r="I106" s="6">
        <v>12.25</v>
      </c>
      <c r="J106" s="2" t="s">
        <v>76</v>
      </c>
    </row>
    <row r="107" spans="1:10" x14ac:dyDescent="0.2">
      <c r="A107" s="2" t="s">
        <v>292</v>
      </c>
      <c r="B107" s="2" t="s">
        <v>293</v>
      </c>
      <c r="C107" s="2" t="s">
        <v>46</v>
      </c>
      <c r="D107" s="2" t="s">
        <v>33</v>
      </c>
      <c r="E107" s="2" t="s">
        <v>27</v>
      </c>
      <c r="F107" s="2" t="s">
        <v>98</v>
      </c>
      <c r="G107" s="2" t="s">
        <v>69</v>
      </c>
      <c r="H107" s="2">
        <v>7</v>
      </c>
      <c r="I107" s="6">
        <v>12.25</v>
      </c>
      <c r="J107" s="2" t="s">
        <v>31</v>
      </c>
    </row>
    <row r="108" spans="1:10" x14ac:dyDescent="0.2">
      <c r="A108" s="2" t="s">
        <v>294</v>
      </c>
      <c r="B108" s="5">
        <v>46109</v>
      </c>
      <c r="C108" s="2" t="s">
        <v>32</v>
      </c>
      <c r="D108" s="2" t="s">
        <v>67</v>
      </c>
      <c r="E108" s="2" t="s">
        <v>38</v>
      </c>
      <c r="F108" s="2" t="s">
        <v>57</v>
      </c>
      <c r="G108" s="2" t="s">
        <v>40</v>
      </c>
      <c r="H108" s="2">
        <v>11</v>
      </c>
      <c r="I108" s="6">
        <v>340</v>
      </c>
      <c r="J108" s="2" t="s">
        <v>44</v>
      </c>
    </row>
    <row r="109" spans="1:10" x14ac:dyDescent="0.2">
      <c r="A109" s="2" t="s">
        <v>295</v>
      </c>
      <c r="B109" s="5">
        <v>46074</v>
      </c>
      <c r="C109" s="2" t="s">
        <v>83</v>
      </c>
      <c r="D109" s="2" t="s">
        <v>67</v>
      </c>
      <c r="E109" s="2" t="s">
        <v>38</v>
      </c>
      <c r="F109" s="2" t="s">
        <v>68</v>
      </c>
      <c r="G109" s="2" t="s">
        <v>69</v>
      </c>
      <c r="H109" s="2">
        <v>38</v>
      </c>
      <c r="I109" s="6">
        <v>18.399999999999999</v>
      </c>
      <c r="J109" s="2" t="s">
        <v>44</v>
      </c>
    </row>
    <row r="110" spans="1:10" x14ac:dyDescent="0.2">
      <c r="A110" s="2" t="s">
        <v>296</v>
      </c>
      <c r="B110" s="2" t="s">
        <v>297</v>
      </c>
      <c r="C110" s="2" t="s">
        <v>59</v>
      </c>
      <c r="D110" s="2" t="s">
        <v>42</v>
      </c>
      <c r="E110" s="2" t="s">
        <v>34</v>
      </c>
      <c r="F110" s="2" t="s">
        <v>96</v>
      </c>
      <c r="G110" s="2" t="s">
        <v>40</v>
      </c>
      <c r="H110" s="2">
        <v>35</v>
      </c>
      <c r="I110" s="2" t="s">
        <v>111</v>
      </c>
      <c r="J110" s="2" t="s">
        <v>76</v>
      </c>
    </row>
    <row r="111" spans="1:10" x14ac:dyDescent="0.2">
      <c r="A111" s="2" t="s">
        <v>298</v>
      </c>
      <c r="B111" s="5">
        <v>46062</v>
      </c>
      <c r="C111" s="2" t="s">
        <v>78</v>
      </c>
      <c r="D111" s="2" t="s">
        <v>73</v>
      </c>
      <c r="E111" s="2" t="s">
        <v>27</v>
      </c>
      <c r="F111" s="2" t="s">
        <v>96</v>
      </c>
      <c r="G111" s="2" t="s">
        <v>40</v>
      </c>
      <c r="H111" s="2" t="s">
        <v>77</v>
      </c>
      <c r="I111" s="6">
        <v>189</v>
      </c>
      <c r="J111" s="2" t="s">
        <v>76</v>
      </c>
    </row>
    <row r="112" spans="1:10" x14ac:dyDescent="0.2">
      <c r="A112" s="2" t="s">
        <v>184</v>
      </c>
      <c r="B112" s="5">
        <v>46097</v>
      </c>
      <c r="C112" s="2" t="s">
        <v>56</v>
      </c>
      <c r="D112" s="2" t="s">
        <v>47</v>
      </c>
      <c r="E112" s="2" t="s">
        <v>27</v>
      </c>
      <c r="F112" s="2" t="s">
        <v>86</v>
      </c>
      <c r="G112" s="2" t="s">
        <v>87</v>
      </c>
      <c r="H112" s="2" t="s">
        <v>299</v>
      </c>
      <c r="I112" s="6">
        <v>24.5</v>
      </c>
      <c r="J112" s="2" t="s">
        <v>44</v>
      </c>
    </row>
    <row r="113" spans="1:10" x14ac:dyDescent="0.2">
      <c r="A113" s="2" t="s">
        <v>300</v>
      </c>
      <c r="B113" s="5">
        <v>46043</v>
      </c>
      <c r="C113" s="2" t="s">
        <v>83</v>
      </c>
      <c r="D113" s="2" t="s">
        <v>73</v>
      </c>
      <c r="E113" s="2" t="s">
        <v>27</v>
      </c>
      <c r="F113" s="2" t="s">
        <v>35</v>
      </c>
      <c r="G113" s="2" t="s">
        <v>29</v>
      </c>
      <c r="H113" s="2">
        <v>3</v>
      </c>
      <c r="I113" s="2" t="s">
        <v>138</v>
      </c>
      <c r="J113" s="2" t="s">
        <v>36</v>
      </c>
    </row>
    <row r="114" spans="1:10" x14ac:dyDescent="0.2">
      <c r="A114" s="2" t="s">
        <v>301</v>
      </c>
      <c r="B114" s="2" t="s">
        <v>302</v>
      </c>
      <c r="C114" s="2" t="s">
        <v>50</v>
      </c>
      <c r="D114" s="2" t="s">
        <v>79</v>
      </c>
      <c r="E114" s="2" t="s">
        <v>34</v>
      </c>
      <c r="F114" s="2" t="s">
        <v>57</v>
      </c>
      <c r="G114" s="2" t="s">
        <v>40</v>
      </c>
      <c r="H114" s="2" t="s">
        <v>71</v>
      </c>
      <c r="I114" s="6">
        <v>340</v>
      </c>
      <c r="J114" s="2" t="s">
        <v>36</v>
      </c>
    </row>
    <row r="115" spans="1:10" x14ac:dyDescent="0.2">
      <c r="A115" s="2" t="s">
        <v>303</v>
      </c>
      <c r="B115" s="5">
        <v>46074</v>
      </c>
      <c r="C115" s="2" t="s">
        <v>129</v>
      </c>
      <c r="D115" s="2" t="s">
        <v>73</v>
      </c>
      <c r="E115" s="2" t="s">
        <v>65</v>
      </c>
      <c r="F115" s="2" t="s">
        <v>39</v>
      </c>
      <c r="G115" s="2" t="s">
        <v>40</v>
      </c>
      <c r="H115" s="2">
        <v>25</v>
      </c>
      <c r="I115" s="6">
        <v>76.5</v>
      </c>
      <c r="J115" s="2" t="s">
        <v>36</v>
      </c>
    </row>
    <row r="116" spans="1:10" x14ac:dyDescent="0.2">
      <c r="A116" s="2" t="s">
        <v>304</v>
      </c>
      <c r="B116" s="5">
        <v>46111</v>
      </c>
      <c r="C116" s="2" t="s">
        <v>112</v>
      </c>
      <c r="D116" s="2" t="s">
        <v>73</v>
      </c>
      <c r="E116" s="2" t="s">
        <v>34</v>
      </c>
      <c r="F116" s="2" t="s">
        <v>48</v>
      </c>
      <c r="G116" s="2" t="s">
        <v>49</v>
      </c>
      <c r="H116" s="2">
        <v>32</v>
      </c>
      <c r="I116" s="2" t="s">
        <v>74</v>
      </c>
      <c r="J116" s="2" t="s">
        <v>44</v>
      </c>
    </row>
    <row r="117" spans="1:10" x14ac:dyDescent="0.2">
      <c r="A117" s="2" t="s">
        <v>305</v>
      </c>
      <c r="B117" s="5">
        <v>46038</v>
      </c>
      <c r="C117" s="2" t="s">
        <v>110</v>
      </c>
      <c r="D117" s="2" t="s">
        <v>42</v>
      </c>
      <c r="E117" s="2" t="s">
        <v>38</v>
      </c>
      <c r="F117" s="2" t="s">
        <v>54</v>
      </c>
      <c r="G117" s="2" t="s">
        <v>49</v>
      </c>
      <c r="H117" s="2">
        <v>37</v>
      </c>
      <c r="I117" s="6">
        <v>21.99</v>
      </c>
      <c r="J117" s="2" t="s">
        <v>55</v>
      </c>
    </row>
    <row r="118" spans="1:10" x14ac:dyDescent="0.2">
      <c r="A118" s="2" t="s">
        <v>306</v>
      </c>
      <c r="B118" s="5">
        <v>46063</v>
      </c>
      <c r="C118" s="2" t="s">
        <v>46</v>
      </c>
      <c r="D118" s="2" t="s">
        <v>90</v>
      </c>
      <c r="E118" s="2" t="s">
        <v>43</v>
      </c>
      <c r="F118" s="2" t="s">
        <v>68</v>
      </c>
      <c r="G118" s="2" t="s">
        <v>69</v>
      </c>
      <c r="H118" s="2">
        <v>36</v>
      </c>
      <c r="I118" s="6">
        <v>18.399999999999999</v>
      </c>
      <c r="J118" s="2" t="s">
        <v>44</v>
      </c>
    </row>
    <row r="119" spans="1:10" x14ac:dyDescent="0.2">
      <c r="A119" s="2" t="s">
        <v>307</v>
      </c>
      <c r="B119" s="2" t="s">
        <v>308</v>
      </c>
      <c r="C119" s="2" t="s">
        <v>46</v>
      </c>
      <c r="D119" s="2" t="s">
        <v>90</v>
      </c>
      <c r="E119" s="2" t="s">
        <v>43</v>
      </c>
      <c r="F119" s="2" t="s">
        <v>98</v>
      </c>
      <c r="G119" s="2" t="s">
        <v>69</v>
      </c>
      <c r="H119" s="2">
        <v>25</v>
      </c>
      <c r="I119" s="2" t="s">
        <v>103</v>
      </c>
      <c r="J119" s="2" t="s">
        <v>44</v>
      </c>
    </row>
    <row r="120" spans="1:10" x14ac:dyDescent="0.2">
      <c r="A120" s="2" t="s">
        <v>309</v>
      </c>
      <c r="B120" s="5">
        <v>46072</v>
      </c>
      <c r="C120" s="2" t="s">
        <v>53</v>
      </c>
      <c r="D120" s="2" t="s">
        <v>88</v>
      </c>
      <c r="E120" s="2" t="s">
        <v>65</v>
      </c>
      <c r="F120" s="2" t="s">
        <v>28</v>
      </c>
      <c r="G120" s="2" t="s">
        <v>29</v>
      </c>
      <c r="H120" s="2">
        <v>1</v>
      </c>
      <c r="I120" s="6">
        <v>94.75</v>
      </c>
      <c r="J120" s="2" t="s">
        <v>44</v>
      </c>
    </row>
    <row r="121" spans="1:10" x14ac:dyDescent="0.2">
      <c r="A121" s="2" t="s">
        <v>310</v>
      </c>
      <c r="B121" s="5">
        <v>46037</v>
      </c>
      <c r="C121" s="2" t="s">
        <v>92</v>
      </c>
      <c r="D121" s="2" t="s">
        <v>90</v>
      </c>
      <c r="E121" s="2" t="s">
        <v>27</v>
      </c>
      <c r="F121" s="2" t="s">
        <v>39</v>
      </c>
      <c r="G121" s="2" t="s">
        <v>40</v>
      </c>
      <c r="H121" s="2">
        <v>34</v>
      </c>
      <c r="I121" s="6">
        <v>76.5</v>
      </c>
      <c r="J121" s="2" t="s">
        <v>44</v>
      </c>
    </row>
    <row r="122" spans="1:10" x14ac:dyDescent="0.2">
      <c r="A122" s="2" t="s">
        <v>311</v>
      </c>
      <c r="B122" s="5">
        <v>46031</v>
      </c>
      <c r="C122" s="2" t="s">
        <v>70</v>
      </c>
      <c r="D122" s="2" t="s">
        <v>63</v>
      </c>
      <c r="E122" s="2" t="s">
        <v>27</v>
      </c>
      <c r="F122" s="2" t="s">
        <v>96</v>
      </c>
      <c r="G122" s="2" t="s">
        <v>40</v>
      </c>
      <c r="H122" s="2">
        <v>29</v>
      </c>
      <c r="I122" s="6">
        <v>189</v>
      </c>
      <c r="J122" s="2" t="s">
        <v>36</v>
      </c>
    </row>
    <row r="123" spans="1:10" x14ac:dyDescent="0.2">
      <c r="A123" s="2" t="s">
        <v>312</v>
      </c>
      <c r="B123" s="5">
        <v>46028</v>
      </c>
      <c r="C123" s="2" t="s">
        <v>129</v>
      </c>
      <c r="D123" s="2" t="s">
        <v>106</v>
      </c>
      <c r="E123" s="2" t="s">
        <v>43</v>
      </c>
      <c r="F123" s="2" t="s">
        <v>98</v>
      </c>
      <c r="G123" s="2" t="s">
        <v>69</v>
      </c>
      <c r="H123" s="2" t="s">
        <v>71</v>
      </c>
      <c r="I123" s="6">
        <v>12.25</v>
      </c>
      <c r="J123" s="2" t="s">
        <v>44</v>
      </c>
    </row>
    <row r="124" spans="1:10" x14ac:dyDescent="0.2">
      <c r="A124" s="2" t="s">
        <v>313</v>
      </c>
      <c r="B124" s="5">
        <v>46076</v>
      </c>
      <c r="C124" s="2" t="s">
        <v>129</v>
      </c>
      <c r="D124" s="2" t="s">
        <v>88</v>
      </c>
      <c r="E124" s="2" t="s">
        <v>43</v>
      </c>
      <c r="F124" s="2" t="s">
        <v>48</v>
      </c>
      <c r="G124" s="2" t="s">
        <v>49</v>
      </c>
      <c r="H124" s="2">
        <v>8</v>
      </c>
      <c r="I124" s="6">
        <v>44</v>
      </c>
      <c r="J124" s="2" t="s">
        <v>31</v>
      </c>
    </row>
    <row r="125" spans="1:10" x14ac:dyDescent="0.2">
      <c r="A125" s="2" t="s">
        <v>314</v>
      </c>
      <c r="B125" s="5">
        <v>46041</v>
      </c>
      <c r="C125" s="2" t="s">
        <v>41</v>
      </c>
      <c r="D125" s="2" t="s">
        <v>88</v>
      </c>
      <c r="E125" s="2" t="s">
        <v>38</v>
      </c>
      <c r="F125" s="2" t="s">
        <v>54</v>
      </c>
      <c r="G125" s="2" t="s">
        <v>49</v>
      </c>
      <c r="H125" s="2">
        <v>17</v>
      </c>
      <c r="I125" s="2" t="s">
        <v>126</v>
      </c>
      <c r="J125" s="2" t="s">
        <v>44</v>
      </c>
    </row>
    <row r="126" spans="1:10" x14ac:dyDescent="0.2">
      <c r="A126" s="2" t="s">
        <v>315</v>
      </c>
      <c r="B126" s="5">
        <v>46056</v>
      </c>
      <c r="C126" s="2" t="s">
        <v>53</v>
      </c>
      <c r="D126" s="2" t="s">
        <v>90</v>
      </c>
      <c r="E126" s="2" t="s">
        <v>80</v>
      </c>
      <c r="F126" s="2" t="s">
        <v>28</v>
      </c>
      <c r="G126" s="2" t="s">
        <v>29</v>
      </c>
      <c r="H126" s="2">
        <v>38</v>
      </c>
      <c r="I126" s="6">
        <v>94.75</v>
      </c>
      <c r="J126" s="2" t="s">
        <v>36</v>
      </c>
    </row>
    <row r="127" spans="1:10" x14ac:dyDescent="0.2">
      <c r="A127" s="2" t="s">
        <v>212</v>
      </c>
      <c r="B127" s="5">
        <v>46090</v>
      </c>
      <c r="C127" s="2" t="s">
        <v>149</v>
      </c>
      <c r="D127" s="2" t="s">
        <v>64</v>
      </c>
      <c r="E127" s="2" t="s">
        <v>65</v>
      </c>
      <c r="F127" s="2" t="s">
        <v>68</v>
      </c>
      <c r="G127" s="2" t="s">
        <v>69</v>
      </c>
      <c r="H127" s="2">
        <v>14</v>
      </c>
      <c r="I127" s="6">
        <v>18.399999999999999</v>
      </c>
      <c r="J127" s="2" t="s">
        <v>44</v>
      </c>
    </row>
    <row r="128" spans="1:10" x14ac:dyDescent="0.2">
      <c r="A128" s="2" t="s">
        <v>316</v>
      </c>
      <c r="B128" s="5">
        <v>46050</v>
      </c>
      <c r="C128" s="2" t="s">
        <v>59</v>
      </c>
      <c r="D128" s="2" t="s">
        <v>88</v>
      </c>
      <c r="E128" s="2" t="s">
        <v>65</v>
      </c>
      <c r="F128" s="2" t="s">
        <v>48</v>
      </c>
      <c r="G128" s="2" t="s">
        <v>49</v>
      </c>
      <c r="H128" s="2">
        <v>37</v>
      </c>
      <c r="I128" s="6">
        <v>44</v>
      </c>
      <c r="J128" s="2" t="s">
        <v>44</v>
      </c>
    </row>
    <row r="129" spans="1:10" x14ac:dyDescent="0.2">
      <c r="A129" s="2" t="s">
        <v>186</v>
      </c>
      <c r="B129" s="5">
        <v>46042</v>
      </c>
      <c r="C129" s="2" t="s">
        <v>78</v>
      </c>
      <c r="D129" s="2" t="s">
        <v>106</v>
      </c>
      <c r="E129" s="2" t="s">
        <v>38</v>
      </c>
      <c r="F129" s="2" t="s">
        <v>86</v>
      </c>
      <c r="G129" s="2" t="s">
        <v>87</v>
      </c>
      <c r="H129" s="2" t="s">
        <v>100</v>
      </c>
      <c r="I129" s="2" t="s">
        <v>99</v>
      </c>
      <c r="J129" s="2" t="s">
        <v>36</v>
      </c>
    </row>
    <row r="130" spans="1:10" x14ac:dyDescent="0.2">
      <c r="A130" s="2" t="s">
        <v>317</v>
      </c>
      <c r="B130" s="5">
        <v>46111</v>
      </c>
      <c r="C130" s="2" t="s">
        <v>149</v>
      </c>
      <c r="D130" s="2" t="s">
        <v>108</v>
      </c>
      <c r="E130" s="2" t="s">
        <v>85</v>
      </c>
      <c r="F130" s="2" t="s">
        <v>48</v>
      </c>
      <c r="G130" s="2" t="s">
        <v>49</v>
      </c>
      <c r="H130" s="2">
        <v>15</v>
      </c>
      <c r="I130" s="2" t="s">
        <v>74</v>
      </c>
      <c r="J130" s="2" t="s">
        <v>31</v>
      </c>
    </row>
    <row r="131" spans="1:10" x14ac:dyDescent="0.2">
      <c r="A131" s="2" t="s">
        <v>318</v>
      </c>
      <c r="B131" s="5">
        <v>46059</v>
      </c>
      <c r="C131" s="2" t="s">
        <v>105</v>
      </c>
      <c r="D131" s="2" t="s">
        <v>108</v>
      </c>
      <c r="E131" s="2" t="s">
        <v>34</v>
      </c>
      <c r="F131" s="2" t="s">
        <v>86</v>
      </c>
      <c r="G131" s="2" t="s">
        <v>87</v>
      </c>
      <c r="H131" s="2" t="s">
        <v>273</v>
      </c>
      <c r="I131" s="6">
        <v>24.5</v>
      </c>
      <c r="J131" s="2" t="s">
        <v>36</v>
      </c>
    </row>
    <row r="132" spans="1:10" x14ac:dyDescent="0.2">
      <c r="A132" s="2" t="s">
        <v>319</v>
      </c>
      <c r="B132" s="5">
        <v>46069</v>
      </c>
      <c r="C132" s="2" t="s">
        <v>50</v>
      </c>
      <c r="D132" s="2" t="s">
        <v>33</v>
      </c>
      <c r="E132" s="2" t="s">
        <v>65</v>
      </c>
      <c r="F132" s="2" t="s">
        <v>28</v>
      </c>
      <c r="G132" s="2" t="s">
        <v>29</v>
      </c>
      <c r="H132" s="2">
        <v>3</v>
      </c>
      <c r="I132" s="6">
        <v>94.75</v>
      </c>
      <c r="J132" s="2" t="s">
        <v>76</v>
      </c>
    </row>
    <row r="133" spans="1:10" x14ac:dyDescent="0.2">
      <c r="A133" s="2" t="s">
        <v>190</v>
      </c>
      <c r="B133" s="5">
        <v>46031</v>
      </c>
      <c r="C133" s="2" t="s">
        <v>83</v>
      </c>
      <c r="D133" s="2" t="s">
        <v>102</v>
      </c>
      <c r="E133" s="2" t="s">
        <v>34</v>
      </c>
      <c r="F133" s="2" t="s">
        <v>39</v>
      </c>
      <c r="G133" s="2" t="s">
        <v>40</v>
      </c>
      <c r="H133" s="2" t="s">
        <v>207</v>
      </c>
      <c r="I133" s="6">
        <v>76.5</v>
      </c>
      <c r="J133" s="2" t="s">
        <v>44</v>
      </c>
    </row>
    <row r="134" spans="1:10" x14ac:dyDescent="0.2">
      <c r="A134" s="2" t="s">
        <v>320</v>
      </c>
      <c r="B134" s="5">
        <v>46108</v>
      </c>
      <c r="C134" s="2" t="s">
        <v>25</v>
      </c>
      <c r="D134" s="2" t="s">
        <v>37</v>
      </c>
      <c r="E134" s="2" t="s">
        <v>38</v>
      </c>
      <c r="F134" s="2" t="s">
        <v>28</v>
      </c>
      <c r="G134" s="2" t="s">
        <v>29</v>
      </c>
      <c r="H134" s="2">
        <v>40</v>
      </c>
      <c r="I134" s="6">
        <v>94.75</v>
      </c>
      <c r="J134" s="2" t="s">
        <v>44</v>
      </c>
    </row>
    <row r="135" spans="1:10" x14ac:dyDescent="0.2">
      <c r="A135" s="2" t="s">
        <v>170</v>
      </c>
      <c r="B135" s="5">
        <v>46048</v>
      </c>
      <c r="C135" s="2" t="s">
        <v>70</v>
      </c>
      <c r="D135" s="2" t="s">
        <v>102</v>
      </c>
      <c r="E135" s="2"/>
      <c r="F135" s="2" t="s">
        <v>39</v>
      </c>
      <c r="G135" s="2" t="s">
        <v>40</v>
      </c>
      <c r="H135" s="2" t="s">
        <v>104</v>
      </c>
      <c r="I135" s="6">
        <v>76.5</v>
      </c>
      <c r="J135" s="2" t="s">
        <v>44</v>
      </c>
    </row>
    <row r="136" spans="1:10" x14ac:dyDescent="0.2">
      <c r="A136" s="2" t="s">
        <v>321</v>
      </c>
      <c r="B136" s="2" t="s">
        <v>322</v>
      </c>
      <c r="C136" s="2" t="s">
        <v>25</v>
      </c>
      <c r="D136" s="2" t="s">
        <v>33</v>
      </c>
      <c r="E136" s="2" t="s">
        <v>27</v>
      </c>
      <c r="F136" s="2" t="s">
        <v>28</v>
      </c>
      <c r="G136" s="2" t="s">
        <v>29</v>
      </c>
      <c r="H136" s="2">
        <v>14</v>
      </c>
      <c r="I136" s="6">
        <v>94.75</v>
      </c>
      <c r="J136" s="2" t="s">
        <v>31</v>
      </c>
    </row>
    <row r="137" spans="1:10" x14ac:dyDescent="0.2">
      <c r="A137" s="2" t="s">
        <v>323</v>
      </c>
      <c r="B137" s="5">
        <v>46063</v>
      </c>
      <c r="C137" s="2" t="s">
        <v>129</v>
      </c>
      <c r="D137" s="2" t="s">
        <v>90</v>
      </c>
      <c r="E137" s="2" t="s">
        <v>27</v>
      </c>
      <c r="F137" s="2" t="s">
        <v>35</v>
      </c>
      <c r="G137" s="2" t="s">
        <v>29</v>
      </c>
      <c r="H137" s="2">
        <v>8</v>
      </c>
      <c r="I137" s="6">
        <v>68</v>
      </c>
      <c r="J137" s="2" t="s">
        <v>44</v>
      </c>
    </row>
    <row r="138" spans="1:10" x14ac:dyDescent="0.2">
      <c r="A138" s="2" t="s">
        <v>324</v>
      </c>
      <c r="B138" s="2" t="s">
        <v>325</v>
      </c>
      <c r="C138" s="2" t="s">
        <v>53</v>
      </c>
      <c r="D138" s="2" t="s">
        <v>73</v>
      </c>
      <c r="E138" s="2" t="s">
        <v>34</v>
      </c>
      <c r="F138" s="2" t="s">
        <v>54</v>
      </c>
      <c r="G138" s="2" t="s">
        <v>49</v>
      </c>
      <c r="H138" s="2">
        <v>1</v>
      </c>
      <c r="I138" s="2" t="s">
        <v>126</v>
      </c>
      <c r="J138" s="2" t="s">
        <v>31</v>
      </c>
    </row>
    <row r="139" spans="1:10" x14ac:dyDescent="0.2">
      <c r="A139" s="2" t="s">
        <v>160</v>
      </c>
      <c r="B139" s="5">
        <v>46032</v>
      </c>
      <c r="C139" s="2" t="s">
        <v>25</v>
      </c>
      <c r="D139" s="2" t="s">
        <v>26</v>
      </c>
      <c r="E139" s="2" t="s">
        <v>65</v>
      </c>
      <c r="F139" s="2" t="s">
        <v>39</v>
      </c>
      <c r="G139" s="2" t="s">
        <v>40</v>
      </c>
      <c r="H139" s="2">
        <v>5</v>
      </c>
      <c r="I139" s="6">
        <v>76.5</v>
      </c>
      <c r="J139" s="2" t="s">
        <v>55</v>
      </c>
    </row>
    <row r="140" spans="1:10" x14ac:dyDescent="0.2">
      <c r="A140" s="2" t="s">
        <v>326</v>
      </c>
      <c r="B140" s="5">
        <v>46070</v>
      </c>
      <c r="C140" s="2" t="s">
        <v>112</v>
      </c>
      <c r="D140" s="2" t="s">
        <v>67</v>
      </c>
      <c r="E140" s="2" t="s">
        <v>80</v>
      </c>
      <c r="F140" s="2" t="s">
        <v>48</v>
      </c>
      <c r="G140" s="2" t="s">
        <v>49</v>
      </c>
      <c r="H140" s="2">
        <v>10</v>
      </c>
      <c r="I140" s="6">
        <v>44</v>
      </c>
      <c r="J140" s="2" t="s">
        <v>55</v>
      </c>
    </row>
    <row r="141" spans="1:10" x14ac:dyDescent="0.2">
      <c r="A141" s="2" t="s">
        <v>161</v>
      </c>
      <c r="B141" s="5">
        <v>46109</v>
      </c>
      <c r="C141" s="2" t="s">
        <v>89</v>
      </c>
      <c r="D141" s="2" t="s">
        <v>37</v>
      </c>
      <c r="E141" s="2" t="s">
        <v>38</v>
      </c>
      <c r="F141" s="2" t="s">
        <v>54</v>
      </c>
      <c r="G141" s="2" t="s">
        <v>49</v>
      </c>
      <c r="H141" s="2">
        <v>21</v>
      </c>
      <c r="I141" s="6">
        <v>21.99</v>
      </c>
      <c r="J141" s="2" t="s">
        <v>44</v>
      </c>
    </row>
    <row r="142" spans="1:10" x14ac:dyDescent="0.2">
      <c r="A142" s="2" t="s">
        <v>327</v>
      </c>
      <c r="B142" s="5">
        <v>46069</v>
      </c>
      <c r="C142" s="2" t="s">
        <v>78</v>
      </c>
      <c r="D142" s="2" t="s">
        <v>63</v>
      </c>
      <c r="E142" s="2"/>
      <c r="F142" s="2" t="s">
        <v>35</v>
      </c>
      <c r="G142" s="2" t="s">
        <v>29</v>
      </c>
      <c r="H142" s="2">
        <v>16</v>
      </c>
      <c r="I142" s="6">
        <v>68</v>
      </c>
      <c r="J142" s="2" t="s">
        <v>44</v>
      </c>
    </row>
    <row r="143" spans="1:10" x14ac:dyDescent="0.2">
      <c r="A143" s="2" t="s">
        <v>328</v>
      </c>
      <c r="B143" s="5">
        <v>46109</v>
      </c>
      <c r="C143" s="2" t="s">
        <v>46</v>
      </c>
      <c r="D143" s="2" t="s">
        <v>88</v>
      </c>
      <c r="E143" s="2" t="s">
        <v>27</v>
      </c>
      <c r="F143" s="2" t="s">
        <v>86</v>
      </c>
      <c r="G143" s="2" t="s">
        <v>87</v>
      </c>
      <c r="H143" s="2">
        <v>4</v>
      </c>
      <c r="I143" s="6">
        <v>24.5</v>
      </c>
      <c r="J143" s="2" t="s">
        <v>55</v>
      </c>
    </row>
    <row r="144" spans="1:10" x14ac:dyDescent="0.2">
      <c r="A144" s="2" t="s">
        <v>329</v>
      </c>
      <c r="B144" s="5">
        <v>46043</v>
      </c>
      <c r="C144" s="2" t="s">
        <v>50</v>
      </c>
      <c r="D144" s="2" t="s">
        <v>108</v>
      </c>
      <c r="E144" s="2" t="s">
        <v>43</v>
      </c>
      <c r="F144" s="2" t="s">
        <v>57</v>
      </c>
      <c r="G144" s="2" t="s">
        <v>40</v>
      </c>
      <c r="H144" s="2">
        <v>39</v>
      </c>
      <c r="I144" s="2" t="s">
        <v>58</v>
      </c>
      <c r="J144" s="2" t="s">
        <v>36</v>
      </c>
    </row>
    <row r="145" spans="1:10" x14ac:dyDescent="0.2">
      <c r="A145" s="2" t="s">
        <v>330</v>
      </c>
      <c r="B145" s="5">
        <v>46106</v>
      </c>
      <c r="C145" s="2" t="s">
        <v>53</v>
      </c>
      <c r="D145" s="2" t="s">
        <v>51</v>
      </c>
      <c r="E145" s="2" t="s">
        <v>43</v>
      </c>
      <c r="F145" s="2" t="s">
        <v>68</v>
      </c>
      <c r="G145" s="2" t="s">
        <v>69</v>
      </c>
      <c r="H145" s="2">
        <v>6</v>
      </c>
      <c r="I145" s="6">
        <v>18.399999999999999</v>
      </c>
      <c r="J145" s="2" t="s">
        <v>36</v>
      </c>
    </row>
    <row r="146" spans="1:10" x14ac:dyDescent="0.2">
      <c r="A146" s="2" t="s">
        <v>182</v>
      </c>
      <c r="B146" s="5">
        <v>46031</v>
      </c>
      <c r="C146" s="2" t="s">
        <v>83</v>
      </c>
      <c r="D146" s="2" t="s">
        <v>79</v>
      </c>
      <c r="E146" s="2" t="s">
        <v>34</v>
      </c>
      <c r="F146" s="2" t="s">
        <v>98</v>
      </c>
      <c r="G146" s="2" t="s">
        <v>69</v>
      </c>
      <c r="H146" s="2">
        <v>16</v>
      </c>
      <c r="I146" s="6">
        <v>12.25</v>
      </c>
      <c r="J146" s="2" t="s">
        <v>44</v>
      </c>
    </row>
    <row r="147" spans="1:10" x14ac:dyDescent="0.2">
      <c r="A147" s="2" t="s">
        <v>331</v>
      </c>
      <c r="B147" s="5">
        <v>46037</v>
      </c>
      <c r="C147" s="2" t="s">
        <v>92</v>
      </c>
      <c r="D147" s="2" t="s">
        <v>42</v>
      </c>
      <c r="E147" s="2" t="s">
        <v>80</v>
      </c>
      <c r="F147" s="2" t="s">
        <v>35</v>
      </c>
      <c r="G147" s="2" t="s">
        <v>29</v>
      </c>
      <c r="H147" s="2">
        <v>32</v>
      </c>
      <c r="I147" s="6">
        <v>68</v>
      </c>
      <c r="J147" s="2" t="s">
        <v>31</v>
      </c>
    </row>
    <row r="148" spans="1:10" x14ac:dyDescent="0.2">
      <c r="A148" s="2" t="s">
        <v>332</v>
      </c>
      <c r="B148" s="5">
        <v>46040</v>
      </c>
      <c r="C148" s="2" t="s">
        <v>92</v>
      </c>
      <c r="D148" s="2" t="s">
        <v>64</v>
      </c>
      <c r="E148" s="2" t="s">
        <v>43</v>
      </c>
      <c r="F148" s="2" t="s">
        <v>57</v>
      </c>
      <c r="G148" s="2" t="s">
        <v>40</v>
      </c>
      <c r="H148" s="2" t="s">
        <v>333</v>
      </c>
      <c r="I148" s="2" t="s">
        <v>58</v>
      </c>
      <c r="J148" s="2" t="s">
        <v>36</v>
      </c>
    </row>
    <row r="149" spans="1:10" x14ac:dyDescent="0.2">
      <c r="A149" s="2" t="s">
        <v>265</v>
      </c>
      <c r="B149" s="5">
        <v>46086</v>
      </c>
      <c r="C149" s="2" t="s">
        <v>56</v>
      </c>
      <c r="D149" s="2" t="s">
        <v>64</v>
      </c>
      <c r="E149" s="2" t="s">
        <v>85</v>
      </c>
      <c r="F149" s="2" t="s">
        <v>28</v>
      </c>
      <c r="G149" s="2" t="s">
        <v>29</v>
      </c>
      <c r="H149" s="2">
        <v>10</v>
      </c>
      <c r="I149" s="6">
        <v>94.75</v>
      </c>
      <c r="J149" s="2" t="s">
        <v>36</v>
      </c>
    </row>
    <row r="150" spans="1:10" x14ac:dyDescent="0.2">
      <c r="A150" s="2" t="s">
        <v>334</v>
      </c>
      <c r="B150" s="5">
        <v>46043</v>
      </c>
      <c r="C150" s="2" t="s">
        <v>92</v>
      </c>
      <c r="D150" s="2" t="s">
        <v>37</v>
      </c>
      <c r="E150" s="2" t="s">
        <v>43</v>
      </c>
      <c r="F150" s="2" t="s">
        <v>39</v>
      </c>
      <c r="G150" s="2" t="s">
        <v>40</v>
      </c>
      <c r="H150" s="2" t="s">
        <v>299</v>
      </c>
      <c r="I150" s="6">
        <v>76.5</v>
      </c>
      <c r="J150" s="2" t="s">
        <v>76</v>
      </c>
    </row>
    <row r="151" spans="1:10" x14ac:dyDescent="0.2">
      <c r="A151" s="2" t="s">
        <v>166</v>
      </c>
      <c r="B151" s="5">
        <v>46057</v>
      </c>
      <c r="C151" s="2" t="s">
        <v>137</v>
      </c>
      <c r="D151" s="2" t="s">
        <v>102</v>
      </c>
      <c r="E151" s="2" t="s">
        <v>38</v>
      </c>
      <c r="F151" s="2" t="s">
        <v>96</v>
      </c>
      <c r="G151" s="2" t="s">
        <v>40</v>
      </c>
      <c r="H151" s="2">
        <v>21</v>
      </c>
      <c r="I151" s="6">
        <v>189</v>
      </c>
      <c r="J151" s="2" t="s">
        <v>31</v>
      </c>
    </row>
    <row r="152" spans="1:10" x14ac:dyDescent="0.2">
      <c r="A152" s="2" t="s">
        <v>335</v>
      </c>
      <c r="B152" s="5">
        <v>46086</v>
      </c>
      <c r="C152" s="2" t="s">
        <v>129</v>
      </c>
      <c r="D152" s="2" t="s">
        <v>37</v>
      </c>
      <c r="E152" s="2" t="s">
        <v>38</v>
      </c>
      <c r="F152" s="2" t="s">
        <v>96</v>
      </c>
      <c r="G152" s="2" t="s">
        <v>40</v>
      </c>
      <c r="H152" s="2" t="s">
        <v>207</v>
      </c>
      <c r="I152" s="6">
        <v>189</v>
      </c>
      <c r="J152" s="2" t="s">
        <v>44</v>
      </c>
    </row>
    <row r="153" spans="1:10" x14ac:dyDescent="0.2">
      <c r="A153" s="2" t="s">
        <v>336</v>
      </c>
      <c r="B153" s="5">
        <v>46110</v>
      </c>
      <c r="C153" s="2" t="s">
        <v>121</v>
      </c>
      <c r="D153" s="2" t="s">
        <v>106</v>
      </c>
      <c r="E153" s="2" t="s">
        <v>43</v>
      </c>
      <c r="F153" s="2" t="s">
        <v>96</v>
      </c>
      <c r="G153" s="2" t="s">
        <v>40</v>
      </c>
      <c r="H153" s="2">
        <v>40</v>
      </c>
      <c r="I153" s="2" t="s">
        <v>111</v>
      </c>
      <c r="J153" s="2" t="s">
        <v>36</v>
      </c>
    </row>
    <row r="154" spans="1:10" x14ac:dyDescent="0.2">
      <c r="A154" s="2" t="s">
        <v>337</v>
      </c>
      <c r="B154" s="5">
        <v>46101</v>
      </c>
      <c r="C154" s="2" t="s">
        <v>89</v>
      </c>
      <c r="D154" s="2" t="s">
        <v>42</v>
      </c>
      <c r="E154" s="2" t="s">
        <v>52</v>
      </c>
      <c r="F154" s="2" t="s">
        <v>39</v>
      </c>
      <c r="G154" s="2" t="s">
        <v>40</v>
      </c>
      <c r="H154" s="2">
        <v>15</v>
      </c>
      <c r="I154" s="6">
        <v>76.5</v>
      </c>
      <c r="J154" s="2" t="s">
        <v>44</v>
      </c>
    </row>
    <row r="155" spans="1:10" x14ac:dyDescent="0.2">
      <c r="A155" s="2" t="s">
        <v>338</v>
      </c>
      <c r="B155" s="5">
        <v>46078</v>
      </c>
      <c r="C155" s="2" t="s">
        <v>50</v>
      </c>
      <c r="D155" s="2" t="s">
        <v>90</v>
      </c>
      <c r="E155" s="2" t="s">
        <v>34</v>
      </c>
      <c r="F155" s="2" t="s">
        <v>39</v>
      </c>
      <c r="G155" s="2" t="s">
        <v>40</v>
      </c>
      <c r="H155" s="2">
        <v>28</v>
      </c>
      <c r="I155" s="6">
        <v>76.5</v>
      </c>
      <c r="J155" s="2" t="s">
        <v>76</v>
      </c>
    </row>
    <row r="156" spans="1:10" x14ac:dyDescent="0.2">
      <c r="A156" s="2" t="s">
        <v>339</v>
      </c>
      <c r="B156" s="5">
        <v>46041</v>
      </c>
      <c r="C156" s="2" t="s">
        <v>60</v>
      </c>
      <c r="D156" s="2" t="s">
        <v>90</v>
      </c>
      <c r="E156" s="2" t="s">
        <v>38</v>
      </c>
      <c r="F156" s="2" t="s">
        <v>54</v>
      </c>
      <c r="G156" s="2" t="s">
        <v>49</v>
      </c>
      <c r="H156" s="2" t="s">
        <v>104</v>
      </c>
      <c r="I156" s="6">
        <v>21.99</v>
      </c>
      <c r="J156" s="2" t="s">
        <v>55</v>
      </c>
    </row>
    <row r="157" spans="1:10" x14ac:dyDescent="0.2">
      <c r="A157" s="2" t="s">
        <v>340</v>
      </c>
      <c r="B157" s="5">
        <v>46025</v>
      </c>
      <c r="C157" s="2" t="s">
        <v>25</v>
      </c>
      <c r="D157" s="2" t="s">
        <v>37</v>
      </c>
      <c r="E157" s="2" t="s">
        <v>27</v>
      </c>
      <c r="F157" s="2" t="s">
        <v>35</v>
      </c>
      <c r="G157" s="2" t="s">
        <v>29</v>
      </c>
      <c r="H157" s="2">
        <v>19</v>
      </c>
      <c r="I157" s="6">
        <v>68</v>
      </c>
      <c r="J157" s="2" t="s">
        <v>76</v>
      </c>
    </row>
    <row r="158" spans="1:10" x14ac:dyDescent="0.2">
      <c r="A158" s="2" t="s">
        <v>341</v>
      </c>
      <c r="B158" s="5">
        <v>46078</v>
      </c>
      <c r="C158" s="2" t="s">
        <v>97</v>
      </c>
      <c r="D158" s="2" t="s">
        <v>108</v>
      </c>
      <c r="E158" s="2" t="s">
        <v>43</v>
      </c>
      <c r="F158" s="2" t="s">
        <v>68</v>
      </c>
      <c r="G158" s="2" t="s">
        <v>69</v>
      </c>
      <c r="H158" s="2">
        <v>40</v>
      </c>
      <c r="I158" s="6">
        <v>18.399999999999999</v>
      </c>
      <c r="J158" s="2" t="s">
        <v>44</v>
      </c>
    </row>
    <row r="159" spans="1:10" x14ac:dyDescent="0.2">
      <c r="A159" s="2" t="s">
        <v>342</v>
      </c>
      <c r="B159" s="5">
        <v>46067</v>
      </c>
      <c r="C159" s="2" t="s">
        <v>53</v>
      </c>
      <c r="D159" s="2" t="s">
        <v>33</v>
      </c>
      <c r="E159" s="2"/>
      <c r="F159" s="2" t="s">
        <v>68</v>
      </c>
      <c r="G159" s="2" t="s">
        <v>69</v>
      </c>
      <c r="H159" s="2">
        <v>26</v>
      </c>
      <c r="I159" s="2" t="s">
        <v>81</v>
      </c>
      <c r="J159" s="2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2BA8-2A38-C940-BBAE-8226913B765D}">
  <dimension ref="A1:M151"/>
  <sheetViews>
    <sheetView workbookViewId="0">
      <selection activeCell="N45" sqref="N45"/>
    </sheetView>
  </sheetViews>
  <sheetFormatPr baseColWidth="10" defaultRowHeight="15" x14ac:dyDescent="0.2"/>
  <cols>
    <col min="2" max="2" width="12" customWidth="1"/>
    <col min="3" max="3" width="18" bestFit="1" customWidth="1"/>
    <col min="6" max="6" width="20" bestFit="1" customWidth="1"/>
    <col min="9" max="9" width="11.1640625" style="19" customWidth="1"/>
    <col min="10" max="10" width="15.33203125" customWidth="1"/>
  </cols>
  <sheetData>
    <row r="1" spans="1:13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s="19" t="s">
        <v>22</v>
      </c>
      <c r="J1" t="s">
        <v>23</v>
      </c>
      <c r="K1" t="s">
        <v>155</v>
      </c>
      <c r="L1" t="s">
        <v>346</v>
      </c>
      <c r="M1" t="s">
        <v>347</v>
      </c>
    </row>
    <row r="2" spans="1:13" x14ac:dyDescent="0.2">
      <c r="A2" t="s">
        <v>179</v>
      </c>
      <c r="B2" s="23">
        <v>46064</v>
      </c>
      <c r="C2" t="s">
        <v>50</v>
      </c>
      <c r="D2" t="s">
        <v>47</v>
      </c>
      <c r="E2" t="s">
        <v>345</v>
      </c>
      <c r="F2" t="s">
        <v>68</v>
      </c>
      <c r="G2" t="s">
        <v>69</v>
      </c>
      <c r="H2">
        <v>18</v>
      </c>
      <c r="I2" s="19">
        <v>18.399999999999999</v>
      </c>
      <c r="J2" t="s">
        <v>31</v>
      </c>
      <c r="K2">
        <f>_xlfn.XLOOKUP(tbl_Q1_Sales[[#This Row],[Order ID]], Discount_Order_tbl[Order ID], Discount_Order_tbl[Discount %], 0)</f>
        <v>12.5</v>
      </c>
      <c r="L2" s="19">
        <f>tbl_Q1_Sales[[#This Row],[Units]]*tbl_Q1_Sales[[#This Row],[Unit Price]]</f>
        <v>331.2</v>
      </c>
      <c r="M2" s="19">
        <f>tbl_Q1_Sales[[#This Row],[Net Revenue]]*(1-tbl_Q1_Sales[[#This Row],[Discount %]]/100)</f>
        <v>289.8</v>
      </c>
    </row>
    <row r="3" spans="1:13" x14ac:dyDescent="0.2">
      <c r="A3" t="s">
        <v>195</v>
      </c>
      <c r="B3" s="23">
        <v>46037</v>
      </c>
      <c r="C3" t="s">
        <v>129</v>
      </c>
      <c r="D3" t="s">
        <v>47</v>
      </c>
      <c r="E3" t="s">
        <v>65</v>
      </c>
      <c r="F3" t="s">
        <v>54</v>
      </c>
      <c r="G3" t="s">
        <v>49</v>
      </c>
      <c r="H3">
        <v>21</v>
      </c>
      <c r="I3" s="19">
        <v>21.99</v>
      </c>
      <c r="J3" t="s">
        <v>31</v>
      </c>
      <c r="K3">
        <f>_xlfn.XLOOKUP(tbl_Q1_Sales[[#This Row],[Order ID]], Discount_Order_tbl[Order ID], Discount_Order_tbl[Discount %], 0)</f>
        <v>0</v>
      </c>
      <c r="L3" s="19">
        <f>tbl_Q1_Sales[[#This Row],[Units]]*tbl_Q1_Sales[[#This Row],[Unit Price]]</f>
        <v>461.78999999999996</v>
      </c>
      <c r="M3" s="19">
        <f>tbl_Q1_Sales[[#This Row],[Net Revenue]]*(1-tbl_Q1_Sales[[#This Row],[Discount %]]/100)</f>
        <v>461.78999999999996</v>
      </c>
    </row>
    <row r="4" spans="1:13" x14ac:dyDescent="0.2">
      <c r="A4" t="s">
        <v>196</v>
      </c>
      <c r="B4" s="23">
        <v>46035</v>
      </c>
      <c r="C4" t="s">
        <v>32</v>
      </c>
      <c r="D4" t="s">
        <v>42</v>
      </c>
      <c r="E4" t="s">
        <v>27</v>
      </c>
      <c r="F4" t="s">
        <v>96</v>
      </c>
      <c r="G4" t="s">
        <v>40</v>
      </c>
      <c r="H4">
        <v>2</v>
      </c>
      <c r="I4" s="19">
        <v>189</v>
      </c>
      <c r="J4" t="s">
        <v>36</v>
      </c>
      <c r="K4">
        <f>_xlfn.XLOOKUP(tbl_Q1_Sales[[#This Row],[Order ID]], Discount_Order_tbl[Order ID], Discount_Order_tbl[Discount %], 0)</f>
        <v>0</v>
      </c>
      <c r="L4" s="19">
        <f>tbl_Q1_Sales[[#This Row],[Units]]*tbl_Q1_Sales[[#This Row],[Unit Price]]</f>
        <v>378</v>
      </c>
      <c r="M4" s="19">
        <f>tbl_Q1_Sales[[#This Row],[Net Revenue]]*(1-tbl_Q1_Sales[[#This Row],[Discount %]]/100)</f>
        <v>378</v>
      </c>
    </row>
    <row r="5" spans="1:13" x14ac:dyDescent="0.2">
      <c r="A5" t="s">
        <v>197</v>
      </c>
      <c r="B5" s="23">
        <v>46055</v>
      </c>
      <c r="C5" t="s">
        <v>78</v>
      </c>
      <c r="D5" t="s">
        <v>63</v>
      </c>
      <c r="E5" t="s">
        <v>34</v>
      </c>
      <c r="F5" t="s">
        <v>48</v>
      </c>
      <c r="G5" t="s">
        <v>49</v>
      </c>
      <c r="H5">
        <v>6</v>
      </c>
      <c r="I5" s="19">
        <v>44</v>
      </c>
      <c r="J5" t="s">
        <v>44</v>
      </c>
      <c r="K5">
        <f>_xlfn.XLOOKUP(tbl_Q1_Sales[[#This Row],[Order ID]], Discount_Order_tbl[Order ID], Discount_Order_tbl[Discount %], 0)</f>
        <v>0</v>
      </c>
      <c r="L5" s="19">
        <f>tbl_Q1_Sales[[#This Row],[Units]]*tbl_Q1_Sales[[#This Row],[Unit Price]]</f>
        <v>264</v>
      </c>
      <c r="M5" s="19">
        <f>tbl_Q1_Sales[[#This Row],[Net Revenue]]*(1-tbl_Q1_Sales[[#This Row],[Discount %]]/100)</f>
        <v>264</v>
      </c>
    </row>
    <row r="6" spans="1:13" x14ac:dyDescent="0.2">
      <c r="A6" t="s">
        <v>198</v>
      </c>
      <c r="B6" s="23">
        <v>46095</v>
      </c>
      <c r="C6" t="s">
        <v>89</v>
      </c>
      <c r="D6" t="s">
        <v>63</v>
      </c>
      <c r="E6" t="s">
        <v>43</v>
      </c>
      <c r="F6" t="s">
        <v>35</v>
      </c>
      <c r="G6" t="s">
        <v>29</v>
      </c>
      <c r="H6">
        <v>3</v>
      </c>
      <c r="I6" s="19">
        <v>68</v>
      </c>
      <c r="J6" t="s">
        <v>44</v>
      </c>
      <c r="K6">
        <f>_xlfn.XLOOKUP(tbl_Q1_Sales[[#This Row],[Order ID]], Discount_Order_tbl[Order ID], Discount_Order_tbl[Discount %], 0)</f>
        <v>0</v>
      </c>
      <c r="L6" s="19">
        <f>tbl_Q1_Sales[[#This Row],[Units]]*tbl_Q1_Sales[[#This Row],[Unit Price]]</f>
        <v>204</v>
      </c>
      <c r="M6" s="19">
        <f>tbl_Q1_Sales[[#This Row],[Net Revenue]]*(1-tbl_Q1_Sales[[#This Row],[Discount %]]/100)</f>
        <v>204</v>
      </c>
    </row>
    <row r="7" spans="1:13" x14ac:dyDescent="0.2">
      <c r="A7" t="s">
        <v>200</v>
      </c>
      <c r="B7" s="23">
        <v>46047</v>
      </c>
      <c r="C7" t="s">
        <v>105</v>
      </c>
      <c r="D7" t="s">
        <v>42</v>
      </c>
      <c r="E7" t="s">
        <v>27</v>
      </c>
      <c r="F7" t="s">
        <v>68</v>
      </c>
      <c r="G7" t="s">
        <v>69</v>
      </c>
      <c r="H7">
        <v>18</v>
      </c>
      <c r="I7" s="19">
        <v>18.399999999999999</v>
      </c>
      <c r="J7" t="s">
        <v>76</v>
      </c>
      <c r="K7">
        <f>_xlfn.XLOOKUP(tbl_Q1_Sales[[#This Row],[Order ID]], Discount_Order_tbl[Order ID], Discount_Order_tbl[Discount %], 0)</f>
        <v>0</v>
      </c>
      <c r="L7" s="19">
        <f>tbl_Q1_Sales[[#This Row],[Units]]*tbl_Q1_Sales[[#This Row],[Unit Price]]</f>
        <v>331.2</v>
      </c>
      <c r="M7" s="19">
        <f>tbl_Q1_Sales[[#This Row],[Net Revenue]]*(1-tbl_Q1_Sales[[#This Row],[Discount %]]/100)</f>
        <v>331.2</v>
      </c>
    </row>
    <row r="8" spans="1:13" x14ac:dyDescent="0.2">
      <c r="A8" t="s">
        <v>202</v>
      </c>
      <c r="B8" s="23">
        <v>46040</v>
      </c>
      <c r="C8" t="s">
        <v>59</v>
      </c>
      <c r="D8" t="s">
        <v>51</v>
      </c>
      <c r="E8" t="s">
        <v>38</v>
      </c>
      <c r="F8" t="s">
        <v>28</v>
      </c>
      <c r="G8" t="s">
        <v>29</v>
      </c>
      <c r="H8">
        <v>15</v>
      </c>
      <c r="I8" s="19">
        <v>94.75</v>
      </c>
      <c r="J8" t="s">
        <v>36</v>
      </c>
      <c r="K8">
        <f>_xlfn.XLOOKUP(tbl_Q1_Sales[[#This Row],[Order ID]], Discount_Order_tbl[Order ID], Discount_Order_tbl[Discount %], 0)</f>
        <v>0</v>
      </c>
      <c r="L8" s="19">
        <f>tbl_Q1_Sales[[#This Row],[Units]]*tbl_Q1_Sales[[#This Row],[Unit Price]]</f>
        <v>1421.25</v>
      </c>
      <c r="M8" s="19">
        <f>tbl_Q1_Sales[[#This Row],[Net Revenue]]*(1-tbl_Q1_Sales[[#This Row],[Discount %]]/100)</f>
        <v>1421.25</v>
      </c>
    </row>
    <row r="9" spans="1:13" x14ac:dyDescent="0.2">
      <c r="A9" t="s">
        <v>177</v>
      </c>
      <c r="B9" s="23">
        <v>46089</v>
      </c>
      <c r="C9" t="s">
        <v>53</v>
      </c>
      <c r="D9" t="s">
        <v>63</v>
      </c>
      <c r="E9" t="s">
        <v>43</v>
      </c>
      <c r="F9" t="s">
        <v>57</v>
      </c>
      <c r="G9" t="s">
        <v>40</v>
      </c>
      <c r="H9">
        <v>25</v>
      </c>
      <c r="I9" s="19">
        <v>340</v>
      </c>
      <c r="J9" t="s">
        <v>31</v>
      </c>
      <c r="K9">
        <f>_xlfn.XLOOKUP(tbl_Q1_Sales[[#This Row],[Order ID]], Discount_Order_tbl[Order ID], Discount_Order_tbl[Discount %], 0)</f>
        <v>7.5</v>
      </c>
      <c r="L9" s="19">
        <f>tbl_Q1_Sales[[#This Row],[Units]]*tbl_Q1_Sales[[#This Row],[Unit Price]]</f>
        <v>8500</v>
      </c>
      <c r="M9" s="19">
        <f>tbl_Q1_Sales[[#This Row],[Net Revenue]]*(1-tbl_Q1_Sales[[#This Row],[Discount %]]/100)</f>
        <v>7862.5</v>
      </c>
    </row>
    <row r="10" spans="1:13" x14ac:dyDescent="0.2">
      <c r="A10" t="s">
        <v>164</v>
      </c>
      <c r="B10" s="23">
        <v>46101</v>
      </c>
      <c r="C10" t="s">
        <v>59</v>
      </c>
      <c r="D10" t="s">
        <v>47</v>
      </c>
      <c r="E10" t="s">
        <v>27</v>
      </c>
      <c r="F10" t="s">
        <v>54</v>
      </c>
      <c r="G10" t="s">
        <v>49</v>
      </c>
      <c r="H10">
        <v>14</v>
      </c>
      <c r="I10" s="19">
        <v>21.99</v>
      </c>
      <c r="J10" t="s">
        <v>76</v>
      </c>
      <c r="K10">
        <f>_xlfn.XLOOKUP(tbl_Q1_Sales[[#This Row],[Order ID]], Discount_Order_tbl[Order ID], Discount_Order_tbl[Discount %], 0)</f>
        <v>12.5</v>
      </c>
      <c r="L10" s="19">
        <f>tbl_Q1_Sales[[#This Row],[Units]]*tbl_Q1_Sales[[#This Row],[Unit Price]]</f>
        <v>307.85999999999996</v>
      </c>
      <c r="M10" s="19">
        <f>tbl_Q1_Sales[[#This Row],[Net Revenue]]*(1-tbl_Q1_Sales[[#This Row],[Discount %]]/100)</f>
        <v>269.37749999999994</v>
      </c>
    </row>
    <row r="11" spans="1:13" x14ac:dyDescent="0.2">
      <c r="A11" t="s">
        <v>204</v>
      </c>
      <c r="B11" s="23">
        <v>46035</v>
      </c>
      <c r="C11" t="s">
        <v>59</v>
      </c>
      <c r="D11" t="s">
        <v>42</v>
      </c>
      <c r="E11" t="s">
        <v>27</v>
      </c>
      <c r="F11" t="s">
        <v>98</v>
      </c>
      <c r="G11" t="s">
        <v>69</v>
      </c>
      <c r="H11">
        <v>5</v>
      </c>
      <c r="I11" s="19">
        <v>12.25</v>
      </c>
      <c r="J11" t="s">
        <v>55</v>
      </c>
      <c r="K11">
        <f>_xlfn.XLOOKUP(tbl_Q1_Sales[[#This Row],[Order ID]], Discount_Order_tbl[Order ID], Discount_Order_tbl[Discount %], 0)</f>
        <v>0</v>
      </c>
      <c r="L11" s="19">
        <f>tbl_Q1_Sales[[#This Row],[Units]]*tbl_Q1_Sales[[#This Row],[Unit Price]]</f>
        <v>61.25</v>
      </c>
      <c r="M11" s="19">
        <f>tbl_Q1_Sales[[#This Row],[Net Revenue]]*(1-tbl_Q1_Sales[[#This Row],[Discount %]]/100)</f>
        <v>61.25</v>
      </c>
    </row>
    <row r="12" spans="1:13" x14ac:dyDescent="0.2">
      <c r="A12" t="s">
        <v>205</v>
      </c>
      <c r="B12" s="23">
        <v>46081</v>
      </c>
      <c r="C12" t="s">
        <v>105</v>
      </c>
      <c r="D12" t="s">
        <v>42</v>
      </c>
      <c r="E12" t="s">
        <v>34</v>
      </c>
      <c r="F12" t="s">
        <v>96</v>
      </c>
      <c r="G12" t="s">
        <v>40</v>
      </c>
      <c r="H12">
        <v>37</v>
      </c>
      <c r="I12" s="19">
        <v>189</v>
      </c>
      <c r="J12" t="s">
        <v>44</v>
      </c>
      <c r="K12">
        <f>_xlfn.XLOOKUP(tbl_Q1_Sales[[#This Row],[Order ID]], Discount_Order_tbl[Order ID], Discount_Order_tbl[Discount %], 0)</f>
        <v>0</v>
      </c>
      <c r="L12" s="19">
        <f>tbl_Q1_Sales[[#This Row],[Units]]*tbl_Q1_Sales[[#This Row],[Unit Price]]</f>
        <v>6993</v>
      </c>
      <c r="M12" s="19">
        <f>tbl_Q1_Sales[[#This Row],[Net Revenue]]*(1-tbl_Q1_Sales[[#This Row],[Discount %]]/100)</f>
        <v>6993</v>
      </c>
    </row>
    <row r="13" spans="1:13" x14ac:dyDescent="0.2">
      <c r="A13" t="s">
        <v>206</v>
      </c>
      <c r="B13" s="23">
        <v>46039</v>
      </c>
      <c r="C13" t="s">
        <v>112</v>
      </c>
      <c r="D13" t="s">
        <v>51</v>
      </c>
      <c r="E13" t="s">
        <v>38</v>
      </c>
      <c r="F13" t="s">
        <v>96</v>
      </c>
      <c r="G13" t="s">
        <v>40</v>
      </c>
      <c r="H13">
        <v>22</v>
      </c>
      <c r="I13" s="19">
        <v>189</v>
      </c>
      <c r="J13" t="s">
        <v>44</v>
      </c>
      <c r="K13">
        <f>_xlfn.XLOOKUP(tbl_Q1_Sales[[#This Row],[Order ID]], Discount_Order_tbl[Order ID], Discount_Order_tbl[Discount %], 0)</f>
        <v>0</v>
      </c>
      <c r="L13" s="19">
        <f>tbl_Q1_Sales[[#This Row],[Units]]*tbl_Q1_Sales[[#This Row],[Unit Price]]</f>
        <v>4158</v>
      </c>
      <c r="M13" s="19">
        <f>tbl_Q1_Sales[[#This Row],[Net Revenue]]*(1-tbl_Q1_Sales[[#This Row],[Discount %]]/100)</f>
        <v>4158</v>
      </c>
    </row>
    <row r="14" spans="1:13" x14ac:dyDescent="0.2">
      <c r="A14" t="s">
        <v>208</v>
      </c>
      <c r="B14" s="23">
        <v>46035</v>
      </c>
      <c r="C14" t="s">
        <v>60</v>
      </c>
      <c r="D14" t="s">
        <v>51</v>
      </c>
      <c r="E14" t="s">
        <v>65</v>
      </c>
      <c r="F14" t="s">
        <v>35</v>
      </c>
      <c r="G14" t="s">
        <v>29</v>
      </c>
      <c r="H14">
        <v>27</v>
      </c>
      <c r="I14" s="19">
        <v>68</v>
      </c>
      <c r="J14" t="s">
        <v>44</v>
      </c>
      <c r="K14">
        <f>_xlfn.XLOOKUP(tbl_Q1_Sales[[#This Row],[Order ID]], Discount_Order_tbl[Order ID], Discount_Order_tbl[Discount %], 0)</f>
        <v>0</v>
      </c>
      <c r="L14" s="19">
        <f>tbl_Q1_Sales[[#This Row],[Units]]*tbl_Q1_Sales[[#This Row],[Unit Price]]</f>
        <v>1836</v>
      </c>
      <c r="M14" s="19">
        <f>tbl_Q1_Sales[[#This Row],[Net Revenue]]*(1-tbl_Q1_Sales[[#This Row],[Discount %]]/100)</f>
        <v>1836</v>
      </c>
    </row>
    <row r="15" spans="1:13" x14ac:dyDescent="0.2">
      <c r="A15" t="s">
        <v>173</v>
      </c>
      <c r="B15" s="23">
        <v>46037</v>
      </c>
      <c r="C15" t="s">
        <v>41</v>
      </c>
      <c r="D15" t="s">
        <v>47</v>
      </c>
      <c r="E15" t="s">
        <v>43</v>
      </c>
      <c r="F15" t="s">
        <v>96</v>
      </c>
      <c r="G15" t="s">
        <v>40</v>
      </c>
      <c r="H15">
        <v>15</v>
      </c>
      <c r="I15" s="19">
        <v>189</v>
      </c>
      <c r="J15" t="s">
        <v>44</v>
      </c>
      <c r="K15">
        <f>_xlfn.XLOOKUP(tbl_Q1_Sales[[#This Row],[Order ID]], Discount_Order_tbl[Order ID], Discount_Order_tbl[Discount %], 0)</f>
        <v>17.5</v>
      </c>
      <c r="L15" s="19">
        <f>tbl_Q1_Sales[[#This Row],[Units]]*tbl_Q1_Sales[[#This Row],[Unit Price]]</f>
        <v>2835</v>
      </c>
      <c r="M15" s="19">
        <f>tbl_Q1_Sales[[#This Row],[Net Revenue]]*(1-tbl_Q1_Sales[[#This Row],[Discount %]]/100)</f>
        <v>2338.875</v>
      </c>
    </row>
    <row r="16" spans="1:13" x14ac:dyDescent="0.2">
      <c r="A16" t="s">
        <v>209</v>
      </c>
      <c r="B16" s="23">
        <v>46072</v>
      </c>
      <c r="C16" t="s">
        <v>32</v>
      </c>
      <c r="D16" t="s">
        <v>63</v>
      </c>
      <c r="E16" t="s">
        <v>345</v>
      </c>
      <c r="F16" t="s">
        <v>57</v>
      </c>
      <c r="G16" t="s">
        <v>40</v>
      </c>
      <c r="H16">
        <v>1</v>
      </c>
      <c r="I16" s="19">
        <v>340</v>
      </c>
      <c r="J16" t="s">
        <v>44</v>
      </c>
      <c r="K16">
        <f>_xlfn.XLOOKUP(tbl_Q1_Sales[[#This Row],[Order ID]], Discount_Order_tbl[Order ID], Discount_Order_tbl[Discount %], 0)</f>
        <v>0</v>
      </c>
      <c r="L16" s="19">
        <f>tbl_Q1_Sales[[#This Row],[Units]]*tbl_Q1_Sales[[#This Row],[Unit Price]]</f>
        <v>340</v>
      </c>
      <c r="M16" s="19">
        <f>tbl_Q1_Sales[[#This Row],[Net Revenue]]*(1-tbl_Q1_Sales[[#This Row],[Discount %]]/100)</f>
        <v>340</v>
      </c>
    </row>
    <row r="17" spans="1:13" x14ac:dyDescent="0.2">
      <c r="A17" t="s">
        <v>174</v>
      </c>
      <c r="B17" s="23">
        <v>46090</v>
      </c>
      <c r="C17" t="s">
        <v>60</v>
      </c>
      <c r="D17" t="s">
        <v>63</v>
      </c>
      <c r="E17" t="s">
        <v>43</v>
      </c>
      <c r="F17" t="s">
        <v>35</v>
      </c>
      <c r="G17" t="s">
        <v>29</v>
      </c>
      <c r="H17">
        <v>13</v>
      </c>
      <c r="I17" s="19">
        <v>68</v>
      </c>
      <c r="J17" t="s">
        <v>55</v>
      </c>
      <c r="K17">
        <f>_xlfn.XLOOKUP(tbl_Q1_Sales[[#This Row],[Order ID]], Discount_Order_tbl[Order ID], Discount_Order_tbl[Discount %], 0)</f>
        <v>5</v>
      </c>
      <c r="L17" s="19">
        <f>tbl_Q1_Sales[[#This Row],[Units]]*tbl_Q1_Sales[[#This Row],[Unit Price]]</f>
        <v>884</v>
      </c>
      <c r="M17" s="19">
        <f>tbl_Q1_Sales[[#This Row],[Net Revenue]]*(1-tbl_Q1_Sales[[#This Row],[Discount %]]/100)</f>
        <v>839.8</v>
      </c>
    </row>
    <row r="18" spans="1:13" x14ac:dyDescent="0.2">
      <c r="A18" t="s">
        <v>212</v>
      </c>
      <c r="B18" s="23">
        <v>46090</v>
      </c>
      <c r="C18" t="s">
        <v>149</v>
      </c>
      <c r="D18" t="s">
        <v>63</v>
      </c>
      <c r="E18" t="s">
        <v>65</v>
      </c>
      <c r="F18" t="s">
        <v>68</v>
      </c>
      <c r="G18" t="s">
        <v>69</v>
      </c>
      <c r="H18">
        <v>14</v>
      </c>
      <c r="I18" s="19">
        <v>18.399999999999999</v>
      </c>
      <c r="J18" t="s">
        <v>44</v>
      </c>
      <c r="K18">
        <f>_xlfn.XLOOKUP(tbl_Q1_Sales[[#This Row],[Order ID]], Discount_Order_tbl[Order ID], Discount_Order_tbl[Discount %], 0)</f>
        <v>0</v>
      </c>
      <c r="L18" s="19">
        <f>tbl_Q1_Sales[[#This Row],[Units]]*tbl_Q1_Sales[[#This Row],[Unit Price]]</f>
        <v>257.59999999999997</v>
      </c>
      <c r="M18" s="19">
        <f>tbl_Q1_Sales[[#This Row],[Net Revenue]]*(1-tbl_Q1_Sales[[#This Row],[Discount %]]/100)</f>
        <v>257.59999999999997</v>
      </c>
    </row>
    <row r="19" spans="1:13" x14ac:dyDescent="0.2">
      <c r="A19" t="s">
        <v>162</v>
      </c>
      <c r="B19" s="23">
        <v>46048</v>
      </c>
      <c r="C19" t="s">
        <v>137</v>
      </c>
      <c r="D19" t="s">
        <v>47</v>
      </c>
      <c r="E19" t="s">
        <v>27</v>
      </c>
      <c r="F19" t="s">
        <v>35</v>
      </c>
      <c r="G19" t="s">
        <v>29</v>
      </c>
      <c r="H19">
        <v>13</v>
      </c>
      <c r="I19" s="19">
        <v>68</v>
      </c>
      <c r="J19" t="s">
        <v>55</v>
      </c>
      <c r="K19">
        <f>_xlfn.XLOOKUP(tbl_Q1_Sales[[#This Row],[Order ID]], Discount_Order_tbl[Order ID], Discount_Order_tbl[Discount %], 0)</f>
        <v>15</v>
      </c>
      <c r="L19" s="19">
        <f>tbl_Q1_Sales[[#This Row],[Units]]*tbl_Q1_Sales[[#This Row],[Unit Price]]</f>
        <v>884</v>
      </c>
      <c r="M19" s="19">
        <f>tbl_Q1_Sales[[#This Row],[Net Revenue]]*(1-tbl_Q1_Sales[[#This Row],[Discount %]]/100)</f>
        <v>751.4</v>
      </c>
    </row>
    <row r="20" spans="1:13" x14ac:dyDescent="0.2">
      <c r="A20" t="s">
        <v>213</v>
      </c>
      <c r="B20" s="23">
        <v>46068</v>
      </c>
      <c r="C20" t="s">
        <v>25</v>
      </c>
      <c r="D20" t="s">
        <v>63</v>
      </c>
      <c r="E20" t="s">
        <v>38</v>
      </c>
      <c r="F20" t="s">
        <v>57</v>
      </c>
      <c r="G20" t="s">
        <v>40</v>
      </c>
      <c r="H20">
        <v>26</v>
      </c>
      <c r="I20" s="19">
        <v>340</v>
      </c>
      <c r="J20" t="s">
        <v>44</v>
      </c>
      <c r="K20">
        <f>_xlfn.XLOOKUP(tbl_Q1_Sales[[#This Row],[Order ID]], Discount_Order_tbl[Order ID], Discount_Order_tbl[Discount %], 0)</f>
        <v>0</v>
      </c>
      <c r="L20" s="19">
        <f>tbl_Q1_Sales[[#This Row],[Units]]*tbl_Q1_Sales[[#This Row],[Unit Price]]</f>
        <v>8840</v>
      </c>
      <c r="M20" s="19">
        <f>tbl_Q1_Sales[[#This Row],[Net Revenue]]*(1-tbl_Q1_Sales[[#This Row],[Discount %]]/100)</f>
        <v>8840</v>
      </c>
    </row>
    <row r="21" spans="1:13" x14ac:dyDescent="0.2">
      <c r="A21" t="s">
        <v>214</v>
      </c>
      <c r="B21" s="23">
        <v>46032</v>
      </c>
      <c r="C21" t="s">
        <v>112</v>
      </c>
      <c r="D21" t="s">
        <v>47</v>
      </c>
      <c r="E21" t="s">
        <v>43</v>
      </c>
      <c r="F21" t="s">
        <v>57</v>
      </c>
      <c r="G21" t="s">
        <v>40</v>
      </c>
      <c r="H21">
        <v>17</v>
      </c>
      <c r="I21" s="19">
        <v>340</v>
      </c>
      <c r="J21" t="s">
        <v>55</v>
      </c>
      <c r="K21">
        <f>_xlfn.XLOOKUP(tbl_Q1_Sales[[#This Row],[Order ID]], Discount_Order_tbl[Order ID], Discount_Order_tbl[Discount %], 0)</f>
        <v>0</v>
      </c>
      <c r="L21" s="19">
        <f>tbl_Q1_Sales[[#This Row],[Units]]*tbl_Q1_Sales[[#This Row],[Unit Price]]</f>
        <v>5780</v>
      </c>
      <c r="M21" s="19">
        <f>tbl_Q1_Sales[[#This Row],[Net Revenue]]*(1-tbl_Q1_Sales[[#This Row],[Discount %]]/100)</f>
        <v>5780</v>
      </c>
    </row>
    <row r="22" spans="1:13" x14ac:dyDescent="0.2">
      <c r="A22" t="s">
        <v>216</v>
      </c>
      <c r="B22" s="23">
        <v>46049</v>
      </c>
      <c r="C22" t="s">
        <v>25</v>
      </c>
      <c r="D22" t="s">
        <v>63</v>
      </c>
      <c r="E22" t="s">
        <v>345</v>
      </c>
      <c r="F22" t="s">
        <v>48</v>
      </c>
      <c r="G22" t="s">
        <v>49</v>
      </c>
      <c r="H22">
        <v>5</v>
      </c>
      <c r="I22" s="19">
        <v>44</v>
      </c>
      <c r="J22" t="s">
        <v>36</v>
      </c>
      <c r="K22">
        <f>_xlfn.XLOOKUP(tbl_Q1_Sales[[#This Row],[Order ID]], Discount_Order_tbl[Order ID], Discount_Order_tbl[Discount %], 0)</f>
        <v>0</v>
      </c>
      <c r="L22" s="19">
        <f>tbl_Q1_Sales[[#This Row],[Units]]*tbl_Q1_Sales[[#This Row],[Unit Price]]</f>
        <v>220</v>
      </c>
      <c r="M22" s="19">
        <f>tbl_Q1_Sales[[#This Row],[Net Revenue]]*(1-tbl_Q1_Sales[[#This Row],[Discount %]]/100)</f>
        <v>220</v>
      </c>
    </row>
    <row r="23" spans="1:13" x14ac:dyDescent="0.2">
      <c r="A23" t="s">
        <v>217</v>
      </c>
      <c r="B23" s="23">
        <v>46100</v>
      </c>
      <c r="C23" t="s">
        <v>83</v>
      </c>
      <c r="D23" t="s">
        <v>63</v>
      </c>
      <c r="E23" t="s">
        <v>345</v>
      </c>
      <c r="F23" t="s">
        <v>57</v>
      </c>
      <c r="G23" t="s">
        <v>40</v>
      </c>
      <c r="H23">
        <v>7</v>
      </c>
      <c r="I23" s="19">
        <v>340</v>
      </c>
      <c r="J23" t="s">
        <v>44</v>
      </c>
      <c r="K23">
        <f>_xlfn.XLOOKUP(tbl_Q1_Sales[[#This Row],[Order ID]], Discount_Order_tbl[Order ID], Discount_Order_tbl[Discount %], 0)</f>
        <v>0</v>
      </c>
      <c r="L23" s="19">
        <f>tbl_Q1_Sales[[#This Row],[Units]]*tbl_Q1_Sales[[#This Row],[Unit Price]]</f>
        <v>2380</v>
      </c>
      <c r="M23" s="19">
        <f>tbl_Q1_Sales[[#This Row],[Net Revenue]]*(1-tbl_Q1_Sales[[#This Row],[Discount %]]/100)</f>
        <v>2380</v>
      </c>
    </row>
    <row r="24" spans="1:13" x14ac:dyDescent="0.2">
      <c r="A24" t="s">
        <v>218</v>
      </c>
      <c r="B24" s="23">
        <v>46040</v>
      </c>
      <c r="C24" t="s">
        <v>32</v>
      </c>
      <c r="D24" t="s">
        <v>63</v>
      </c>
      <c r="E24" t="s">
        <v>38</v>
      </c>
      <c r="F24" t="s">
        <v>39</v>
      </c>
      <c r="G24" t="s">
        <v>40</v>
      </c>
      <c r="H24">
        <v>1</v>
      </c>
      <c r="I24" s="19">
        <v>76.5</v>
      </c>
      <c r="J24" t="s">
        <v>36</v>
      </c>
      <c r="K24">
        <f>_xlfn.XLOOKUP(tbl_Q1_Sales[[#This Row],[Order ID]], Discount_Order_tbl[Order ID], Discount_Order_tbl[Discount %], 0)</f>
        <v>0</v>
      </c>
      <c r="L24" s="19">
        <f>tbl_Q1_Sales[[#This Row],[Units]]*tbl_Q1_Sales[[#This Row],[Unit Price]]</f>
        <v>76.5</v>
      </c>
      <c r="M24" s="19">
        <f>tbl_Q1_Sales[[#This Row],[Net Revenue]]*(1-tbl_Q1_Sales[[#This Row],[Discount %]]/100)</f>
        <v>76.5</v>
      </c>
    </row>
    <row r="25" spans="1:13" x14ac:dyDescent="0.2">
      <c r="A25" t="s">
        <v>219</v>
      </c>
      <c r="B25" s="23">
        <v>46043</v>
      </c>
      <c r="C25" t="s">
        <v>89</v>
      </c>
      <c r="D25" t="s">
        <v>51</v>
      </c>
      <c r="E25" t="s">
        <v>27</v>
      </c>
      <c r="F25" t="s">
        <v>86</v>
      </c>
      <c r="G25" t="s">
        <v>87</v>
      </c>
      <c r="H25">
        <v>31</v>
      </c>
      <c r="I25" s="19">
        <v>24.5</v>
      </c>
      <c r="J25" t="s">
        <v>76</v>
      </c>
      <c r="K25">
        <f>_xlfn.XLOOKUP(tbl_Q1_Sales[[#This Row],[Order ID]], Discount_Order_tbl[Order ID], Discount_Order_tbl[Discount %], 0)</f>
        <v>0</v>
      </c>
      <c r="L25" s="19">
        <f>tbl_Q1_Sales[[#This Row],[Units]]*tbl_Q1_Sales[[#This Row],[Unit Price]]</f>
        <v>759.5</v>
      </c>
      <c r="M25" s="19">
        <f>tbl_Q1_Sales[[#This Row],[Net Revenue]]*(1-tbl_Q1_Sales[[#This Row],[Discount %]]/100)</f>
        <v>759.5</v>
      </c>
    </row>
    <row r="26" spans="1:13" x14ac:dyDescent="0.2">
      <c r="A26" t="s">
        <v>185</v>
      </c>
      <c r="B26" s="23">
        <v>46055</v>
      </c>
      <c r="C26" t="s">
        <v>89</v>
      </c>
      <c r="D26" t="s">
        <v>63</v>
      </c>
      <c r="E26" t="s">
        <v>345</v>
      </c>
      <c r="F26" t="s">
        <v>35</v>
      </c>
      <c r="G26" t="s">
        <v>29</v>
      </c>
      <c r="H26">
        <v>16</v>
      </c>
      <c r="I26" s="19">
        <v>68</v>
      </c>
      <c r="J26" t="s">
        <v>36</v>
      </c>
      <c r="K26">
        <f>_xlfn.XLOOKUP(tbl_Q1_Sales[[#This Row],[Order ID]], Discount_Order_tbl[Order ID], Discount_Order_tbl[Discount %], 0)</f>
        <v>5</v>
      </c>
      <c r="L26" s="19">
        <f>tbl_Q1_Sales[[#This Row],[Units]]*tbl_Q1_Sales[[#This Row],[Unit Price]]</f>
        <v>1088</v>
      </c>
      <c r="M26" s="19">
        <f>tbl_Q1_Sales[[#This Row],[Net Revenue]]*(1-tbl_Q1_Sales[[#This Row],[Discount %]]/100)</f>
        <v>1033.5999999999999</v>
      </c>
    </row>
    <row r="27" spans="1:13" x14ac:dyDescent="0.2">
      <c r="A27" t="s">
        <v>220</v>
      </c>
      <c r="B27" s="23">
        <v>46105</v>
      </c>
      <c r="C27" t="s">
        <v>92</v>
      </c>
      <c r="D27" t="s">
        <v>42</v>
      </c>
      <c r="E27" t="s">
        <v>34</v>
      </c>
      <c r="F27" t="s">
        <v>54</v>
      </c>
      <c r="G27" t="s">
        <v>49</v>
      </c>
      <c r="H27">
        <v>21</v>
      </c>
      <c r="I27" s="19">
        <v>21.99</v>
      </c>
      <c r="J27" t="s">
        <v>36</v>
      </c>
      <c r="K27">
        <f>_xlfn.XLOOKUP(tbl_Q1_Sales[[#This Row],[Order ID]], Discount_Order_tbl[Order ID], Discount_Order_tbl[Discount %], 0)</f>
        <v>0</v>
      </c>
      <c r="L27" s="19">
        <f>tbl_Q1_Sales[[#This Row],[Units]]*tbl_Q1_Sales[[#This Row],[Unit Price]]</f>
        <v>461.78999999999996</v>
      </c>
      <c r="M27" s="19">
        <f>tbl_Q1_Sales[[#This Row],[Net Revenue]]*(1-tbl_Q1_Sales[[#This Row],[Discount %]]/100)</f>
        <v>461.78999999999996</v>
      </c>
    </row>
    <row r="28" spans="1:13" x14ac:dyDescent="0.2">
      <c r="A28" t="s">
        <v>222</v>
      </c>
      <c r="B28" s="23">
        <v>46023</v>
      </c>
      <c r="C28" t="s">
        <v>41</v>
      </c>
      <c r="D28" t="s">
        <v>42</v>
      </c>
      <c r="E28" t="s">
        <v>38</v>
      </c>
      <c r="F28" t="s">
        <v>35</v>
      </c>
      <c r="G28" t="s">
        <v>29</v>
      </c>
      <c r="H28">
        <v>31</v>
      </c>
      <c r="I28" s="19">
        <v>68</v>
      </c>
      <c r="J28" t="s">
        <v>55</v>
      </c>
      <c r="K28">
        <f>_xlfn.XLOOKUP(tbl_Q1_Sales[[#This Row],[Order ID]], Discount_Order_tbl[Order ID], Discount_Order_tbl[Discount %], 0)</f>
        <v>0</v>
      </c>
      <c r="L28" s="19">
        <f>tbl_Q1_Sales[[#This Row],[Units]]*tbl_Q1_Sales[[#This Row],[Unit Price]]</f>
        <v>2108</v>
      </c>
      <c r="M28" s="19">
        <f>tbl_Q1_Sales[[#This Row],[Net Revenue]]*(1-tbl_Q1_Sales[[#This Row],[Discount %]]/100)</f>
        <v>2108</v>
      </c>
    </row>
    <row r="29" spans="1:13" x14ac:dyDescent="0.2">
      <c r="A29" t="s">
        <v>187</v>
      </c>
      <c r="B29" s="23">
        <v>46109</v>
      </c>
      <c r="C29" t="s">
        <v>89</v>
      </c>
      <c r="D29" t="s">
        <v>47</v>
      </c>
      <c r="E29" t="s">
        <v>345</v>
      </c>
      <c r="F29" t="s">
        <v>39</v>
      </c>
      <c r="G29" t="s">
        <v>40</v>
      </c>
      <c r="H29">
        <v>12</v>
      </c>
      <c r="I29" s="19">
        <v>76.5</v>
      </c>
      <c r="J29" t="s">
        <v>55</v>
      </c>
      <c r="K29">
        <f>_xlfn.XLOOKUP(tbl_Q1_Sales[[#This Row],[Order ID]], Discount_Order_tbl[Order ID], Discount_Order_tbl[Discount %], 0)</f>
        <v>25</v>
      </c>
      <c r="L29" s="19">
        <f>tbl_Q1_Sales[[#This Row],[Units]]*tbl_Q1_Sales[[#This Row],[Unit Price]]</f>
        <v>918</v>
      </c>
      <c r="M29" s="19">
        <f>tbl_Q1_Sales[[#This Row],[Net Revenue]]*(1-tbl_Q1_Sales[[#This Row],[Discount %]]/100)</f>
        <v>688.5</v>
      </c>
    </row>
    <row r="30" spans="1:13" x14ac:dyDescent="0.2">
      <c r="A30" t="s">
        <v>223</v>
      </c>
      <c r="B30" s="23">
        <v>46094</v>
      </c>
      <c r="C30" t="s">
        <v>78</v>
      </c>
      <c r="D30" t="s">
        <v>51</v>
      </c>
      <c r="E30" t="s">
        <v>27</v>
      </c>
      <c r="F30" t="s">
        <v>39</v>
      </c>
      <c r="G30" t="s">
        <v>40</v>
      </c>
      <c r="H30">
        <v>36</v>
      </c>
      <c r="I30" s="19">
        <v>76.5</v>
      </c>
      <c r="J30" t="s">
        <v>44</v>
      </c>
      <c r="K30">
        <f>_xlfn.XLOOKUP(tbl_Q1_Sales[[#This Row],[Order ID]], Discount_Order_tbl[Order ID], Discount_Order_tbl[Discount %], 0)</f>
        <v>0</v>
      </c>
      <c r="L30" s="19">
        <f>tbl_Q1_Sales[[#This Row],[Units]]*tbl_Q1_Sales[[#This Row],[Unit Price]]</f>
        <v>2754</v>
      </c>
      <c r="M30" s="19">
        <f>tbl_Q1_Sales[[#This Row],[Net Revenue]]*(1-tbl_Q1_Sales[[#This Row],[Discount %]]/100)</f>
        <v>2754</v>
      </c>
    </row>
    <row r="31" spans="1:13" x14ac:dyDescent="0.2">
      <c r="A31" t="s">
        <v>224</v>
      </c>
      <c r="B31" s="23">
        <v>46038</v>
      </c>
      <c r="C31" t="s">
        <v>97</v>
      </c>
      <c r="D31" t="s">
        <v>51</v>
      </c>
      <c r="E31" t="s">
        <v>38</v>
      </c>
      <c r="F31" t="s">
        <v>48</v>
      </c>
      <c r="G31" t="s">
        <v>49</v>
      </c>
      <c r="H31">
        <v>6</v>
      </c>
      <c r="I31" s="19">
        <v>44</v>
      </c>
      <c r="J31" t="s">
        <v>76</v>
      </c>
      <c r="K31">
        <f>_xlfn.XLOOKUP(tbl_Q1_Sales[[#This Row],[Order ID]], Discount_Order_tbl[Order ID], Discount_Order_tbl[Discount %], 0)</f>
        <v>0</v>
      </c>
      <c r="L31" s="19">
        <f>tbl_Q1_Sales[[#This Row],[Units]]*tbl_Q1_Sales[[#This Row],[Unit Price]]</f>
        <v>264</v>
      </c>
      <c r="M31" s="19">
        <f>tbl_Q1_Sales[[#This Row],[Net Revenue]]*(1-tbl_Q1_Sales[[#This Row],[Discount %]]/100)</f>
        <v>264</v>
      </c>
    </row>
    <row r="32" spans="1:13" x14ac:dyDescent="0.2">
      <c r="A32" t="s">
        <v>176</v>
      </c>
      <c r="B32" s="23">
        <v>46081</v>
      </c>
      <c r="C32" t="s">
        <v>46</v>
      </c>
      <c r="D32" t="s">
        <v>63</v>
      </c>
      <c r="E32" t="s">
        <v>34</v>
      </c>
      <c r="F32" t="s">
        <v>86</v>
      </c>
      <c r="G32" t="s">
        <v>87</v>
      </c>
      <c r="H32">
        <v>18</v>
      </c>
      <c r="I32" s="19">
        <v>24.5</v>
      </c>
      <c r="J32" t="s">
        <v>76</v>
      </c>
      <c r="K32">
        <f>_xlfn.XLOOKUP(tbl_Q1_Sales[[#This Row],[Order ID]], Discount_Order_tbl[Order ID], Discount_Order_tbl[Discount %], 0)</f>
        <v>5</v>
      </c>
      <c r="L32" s="19">
        <f>tbl_Q1_Sales[[#This Row],[Units]]*tbl_Q1_Sales[[#This Row],[Unit Price]]</f>
        <v>441</v>
      </c>
      <c r="M32" s="19">
        <f>tbl_Q1_Sales[[#This Row],[Net Revenue]]*(1-tbl_Q1_Sales[[#This Row],[Discount %]]/100)</f>
        <v>418.95</v>
      </c>
    </row>
    <row r="33" spans="1:13" x14ac:dyDescent="0.2">
      <c r="A33" t="s">
        <v>175</v>
      </c>
      <c r="B33" s="23">
        <v>46043</v>
      </c>
      <c r="C33" t="s">
        <v>60</v>
      </c>
      <c r="D33" t="s">
        <v>42</v>
      </c>
      <c r="E33" t="s">
        <v>65</v>
      </c>
      <c r="F33" t="s">
        <v>28</v>
      </c>
      <c r="G33" t="s">
        <v>29</v>
      </c>
      <c r="H33">
        <v>17</v>
      </c>
      <c r="I33" s="19">
        <v>94.75</v>
      </c>
      <c r="J33" t="s">
        <v>31</v>
      </c>
      <c r="K33">
        <f>_xlfn.XLOOKUP(tbl_Q1_Sales[[#This Row],[Order ID]], Discount_Order_tbl[Order ID], Discount_Order_tbl[Discount %], 0)</f>
        <v>2.5</v>
      </c>
      <c r="L33" s="19">
        <f>tbl_Q1_Sales[[#This Row],[Units]]*tbl_Q1_Sales[[#This Row],[Unit Price]]</f>
        <v>1610.75</v>
      </c>
      <c r="M33" s="19">
        <f>tbl_Q1_Sales[[#This Row],[Net Revenue]]*(1-tbl_Q1_Sales[[#This Row],[Discount %]]/100)</f>
        <v>1570.48125</v>
      </c>
    </row>
    <row r="34" spans="1:13" x14ac:dyDescent="0.2">
      <c r="A34" t="s">
        <v>169</v>
      </c>
      <c r="B34" s="23">
        <v>46102</v>
      </c>
      <c r="C34" t="s">
        <v>60</v>
      </c>
      <c r="D34" t="s">
        <v>63</v>
      </c>
      <c r="E34" t="s">
        <v>65</v>
      </c>
      <c r="F34" t="s">
        <v>98</v>
      </c>
      <c r="G34" t="s">
        <v>69</v>
      </c>
      <c r="H34">
        <v>24</v>
      </c>
      <c r="I34" s="19">
        <v>12.25</v>
      </c>
      <c r="J34" t="s">
        <v>55</v>
      </c>
      <c r="K34">
        <f>_xlfn.XLOOKUP(tbl_Q1_Sales[[#This Row],[Order ID]], Discount_Order_tbl[Order ID], Discount_Order_tbl[Discount %], 0)</f>
        <v>5</v>
      </c>
      <c r="L34" s="19">
        <f>tbl_Q1_Sales[[#This Row],[Units]]*tbl_Q1_Sales[[#This Row],[Unit Price]]</f>
        <v>294</v>
      </c>
      <c r="M34" s="19">
        <f>tbl_Q1_Sales[[#This Row],[Net Revenue]]*(1-tbl_Q1_Sales[[#This Row],[Discount %]]/100)</f>
        <v>279.3</v>
      </c>
    </row>
    <row r="35" spans="1:13" x14ac:dyDescent="0.2">
      <c r="A35" t="s">
        <v>227</v>
      </c>
      <c r="B35" s="23">
        <v>46094</v>
      </c>
      <c r="C35" t="s">
        <v>129</v>
      </c>
      <c r="D35" t="s">
        <v>42</v>
      </c>
      <c r="E35" t="s">
        <v>43</v>
      </c>
      <c r="F35" t="s">
        <v>57</v>
      </c>
      <c r="G35" t="s">
        <v>40</v>
      </c>
      <c r="H35">
        <v>29</v>
      </c>
      <c r="I35" s="19">
        <v>340</v>
      </c>
      <c r="J35" t="s">
        <v>44</v>
      </c>
      <c r="K35">
        <f>_xlfn.XLOOKUP(tbl_Q1_Sales[[#This Row],[Order ID]], Discount_Order_tbl[Order ID], Discount_Order_tbl[Discount %], 0)</f>
        <v>0</v>
      </c>
      <c r="L35" s="19">
        <f>tbl_Q1_Sales[[#This Row],[Units]]*tbl_Q1_Sales[[#This Row],[Unit Price]]</f>
        <v>9860</v>
      </c>
      <c r="M35" s="19">
        <f>tbl_Q1_Sales[[#This Row],[Net Revenue]]*(1-tbl_Q1_Sales[[#This Row],[Discount %]]/100)</f>
        <v>9860</v>
      </c>
    </row>
    <row r="36" spans="1:13" x14ac:dyDescent="0.2">
      <c r="A36" t="s">
        <v>230</v>
      </c>
      <c r="B36" s="23">
        <v>46033</v>
      </c>
      <c r="C36" t="s">
        <v>78</v>
      </c>
      <c r="D36" t="s">
        <v>51</v>
      </c>
      <c r="E36" t="s">
        <v>34</v>
      </c>
      <c r="F36" t="s">
        <v>96</v>
      </c>
      <c r="G36" t="s">
        <v>40</v>
      </c>
      <c r="H36">
        <v>12</v>
      </c>
      <c r="I36" s="19">
        <v>189</v>
      </c>
      <c r="J36" t="s">
        <v>36</v>
      </c>
      <c r="K36">
        <f>_xlfn.XLOOKUP(tbl_Q1_Sales[[#This Row],[Order ID]], Discount_Order_tbl[Order ID], Discount_Order_tbl[Discount %], 0)</f>
        <v>0</v>
      </c>
      <c r="L36" s="19">
        <f>tbl_Q1_Sales[[#This Row],[Units]]*tbl_Q1_Sales[[#This Row],[Unit Price]]</f>
        <v>2268</v>
      </c>
      <c r="M36" s="19">
        <f>tbl_Q1_Sales[[#This Row],[Net Revenue]]*(1-tbl_Q1_Sales[[#This Row],[Discount %]]/100)</f>
        <v>2268</v>
      </c>
    </row>
    <row r="37" spans="1:13" x14ac:dyDescent="0.2">
      <c r="A37" t="s">
        <v>231</v>
      </c>
      <c r="B37" s="23">
        <v>46048</v>
      </c>
      <c r="C37" t="s">
        <v>60</v>
      </c>
      <c r="D37" t="s">
        <v>42</v>
      </c>
      <c r="E37" t="s">
        <v>43</v>
      </c>
      <c r="F37" t="s">
        <v>35</v>
      </c>
      <c r="G37" t="s">
        <v>29</v>
      </c>
      <c r="H37">
        <v>24</v>
      </c>
      <c r="I37" s="19">
        <v>68</v>
      </c>
      <c r="J37" t="s">
        <v>76</v>
      </c>
      <c r="K37">
        <f>_xlfn.XLOOKUP(tbl_Q1_Sales[[#This Row],[Order ID]], Discount_Order_tbl[Order ID], Discount_Order_tbl[Discount %], 0)</f>
        <v>0</v>
      </c>
      <c r="L37" s="19">
        <f>tbl_Q1_Sales[[#This Row],[Units]]*tbl_Q1_Sales[[#This Row],[Unit Price]]</f>
        <v>1632</v>
      </c>
      <c r="M37" s="19">
        <f>tbl_Q1_Sales[[#This Row],[Net Revenue]]*(1-tbl_Q1_Sales[[#This Row],[Discount %]]/100)</f>
        <v>1632</v>
      </c>
    </row>
    <row r="38" spans="1:13" x14ac:dyDescent="0.2">
      <c r="A38" t="s">
        <v>232</v>
      </c>
      <c r="B38" s="23">
        <v>46057</v>
      </c>
      <c r="C38" t="s">
        <v>46</v>
      </c>
      <c r="D38" t="s">
        <v>63</v>
      </c>
      <c r="E38" t="s">
        <v>65</v>
      </c>
      <c r="F38" t="s">
        <v>54</v>
      </c>
      <c r="G38" t="s">
        <v>49</v>
      </c>
      <c r="H38">
        <v>19</v>
      </c>
      <c r="I38" s="19">
        <v>21.99</v>
      </c>
      <c r="J38" t="s">
        <v>31</v>
      </c>
      <c r="K38">
        <f>_xlfn.XLOOKUP(tbl_Q1_Sales[[#This Row],[Order ID]], Discount_Order_tbl[Order ID], Discount_Order_tbl[Discount %], 0)</f>
        <v>0</v>
      </c>
      <c r="L38" s="19">
        <f>tbl_Q1_Sales[[#This Row],[Units]]*tbl_Q1_Sales[[#This Row],[Unit Price]]</f>
        <v>417.80999999999995</v>
      </c>
      <c r="M38" s="19">
        <f>tbl_Q1_Sales[[#This Row],[Net Revenue]]*(1-tbl_Q1_Sales[[#This Row],[Discount %]]/100)</f>
        <v>417.80999999999995</v>
      </c>
    </row>
    <row r="39" spans="1:13" x14ac:dyDescent="0.2">
      <c r="A39" t="s">
        <v>183</v>
      </c>
      <c r="B39" s="23">
        <v>46101</v>
      </c>
      <c r="C39" t="s">
        <v>83</v>
      </c>
      <c r="D39" t="s">
        <v>47</v>
      </c>
      <c r="E39" t="s">
        <v>43</v>
      </c>
      <c r="F39" t="s">
        <v>48</v>
      </c>
      <c r="G39" t="s">
        <v>49</v>
      </c>
      <c r="H39">
        <v>19</v>
      </c>
      <c r="I39" s="19">
        <v>44</v>
      </c>
      <c r="J39" t="s">
        <v>36</v>
      </c>
      <c r="K39">
        <f>_xlfn.XLOOKUP(tbl_Q1_Sales[[#This Row],[Order ID]], Discount_Order_tbl[Order ID], Discount_Order_tbl[Discount %], 0)</f>
        <v>7.5</v>
      </c>
      <c r="L39" s="19">
        <f>tbl_Q1_Sales[[#This Row],[Units]]*tbl_Q1_Sales[[#This Row],[Unit Price]]</f>
        <v>836</v>
      </c>
      <c r="M39" s="19">
        <f>tbl_Q1_Sales[[#This Row],[Net Revenue]]*(1-tbl_Q1_Sales[[#This Row],[Discount %]]/100)</f>
        <v>773.30000000000007</v>
      </c>
    </row>
    <row r="40" spans="1:13" x14ac:dyDescent="0.2">
      <c r="A40" t="s">
        <v>233</v>
      </c>
      <c r="B40" s="23">
        <v>46047</v>
      </c>
      <c r="C40" t="s">
        <v>32</v>
      </c>
      <c r="D40" t="s">
        <v>51</v>
      </c>
      <c r="E40" t="s">
        <v>43</v>
      </c>
      <c r="F40" t="s">
        <v>86</v>
      </c>
      <c r="G40" t="s">
        <v>87</v>
      </c>
      <c r="H40">
        <v>1</v>
      </c>
      <c r="I40" s="19">
        <v>24.5</v>
      </c>
      <c r="J40" t="s">
        <v>44</v>
      </c>
      <c r="K40">
        <f>_xlfn.XLOOKUP(tbl_Q1_Sales[[#This Row],[Order ID]], Discount_Order_tbl[Order ID], Discount_Order_tbl[Discount %], 0)</f>
        <v>0</v>
      </c>
      <c r="L40" s="19">
        <f>tbl_Q1_Sales[[#This Row],[Units]]*tbl_Q1_Sales[[#This Row],[Unit Price]]</f>
        <v>24.5</v>
      </c>
      <c r="M40" s="19">
        <f>tbl_Q1_Sales[[#This Row],[Net Revenue]]*(1-tbl_Q1_Sales[[#This Row],[Discount %]]/100)</f>
        <v>24.5</v>
      </c>
    </row>
    <row r="41" spans="1:13" x14ac:dyDescent="0.2">
      <c r="A41" t="s">
        <v>235</v>
      </c>
      <c r="B41" s="23">
        <v>46090</v>
      </c>
      <c r="C41" t="s">
        <v>46</v>
      </c>
      <c r="D41" t="s">
        <v>51</v>
      </c>
      <c r="E41" t="s">
        <v>43</v>
      </c>
      <c r="F41" t="s">
        <v>39</v>
      </c>
      <c r="G41" t="s">
        <v>40</v>
      </c>
      <c r="H41">
        <v>14</v>
      </c>
      <c r="I41" s="19">
        <v>76.5</v>
      </c>
      <c r="J41" t="s">
        <v>44</v>
      </c>
      <c r="K41">
        <f>_xlfn.XLOOKUP(tbl_Q1_Sales[[#This Row],[Order ID]], Discount_Order_tbl[Order ID], Discount_Order_tbl[Discount %], 0)</f>
        <v>0</v>
      </c>
      <c r="L41" s="19">
        <f>tbl_Q1_Sales[[#This Row],[Units]]*tbl_Q1_Sales[[#This Row],[Unit Price]]</f>
        <v>1071</v>
      </c>
      <c r="M41" s="19">
        <f>tbl_Q1_Sales[[#This Row],[Net Revenue]]*(1-tbl_Q1_Sales[[#This Row],[Discount %]]/100)</f>
        <v>1071</v>
      </c>
    </row>
    <row r="42" spans="1:13" x14ac:dyDescent="0.2">
      <c r="A42" t="s">
        <v>181</v>
      </c>
      <c r="B42" s="23">
        <v>46024</v>
      </c>
      <c r="C42" t="s">
        <v>32</v>
      </c>
      <c r="D42" t="s">
        <v>47</v>
      </c>
      <c r="E42" t="s">
        <v>38</v>
      </c>
      <c r="F42" t="s">
        <v>96</v>
      </c>
      <c r="G42" t="s">
        <v>40</v>
      </c>
      <c r="H42">
        <v>37</v>
      </c>
      <c r="I42" s="19">
        <v>189</v>
      </c>
      <c r="J42" t="s">
        <v>44</v>
      </c>
      <c r="K42">
        <f>_xlfn.XLOOKUP(tbl_Q1_Sales[[#This Row],[Order ID]], Discount_Order_tbl[Order ID], Discount_Order_tbl[Discount %], 0)</f>
        <v>20</v>
      </c>
      <c r="L42" s="19">
        <f>tbl_Q1_Sales[[#This Row],[Units]]*tbl_Q1_Sales[[#This Row],[Unit Price]]</f>
        <v>6993</v>
      </c>
      <c r="M42" s="19">
        <f>tbl_Q1_Sales[[#This Row],[Net Revenue]]*(1-tbl_Q1_Sales[[#This Row],[Discount %]]/100)</f>
        <v>5594.4000000000005</v>
      </c>
    </row>
    <row r="43" spans="1:13" x14ac:dyDescent="0.2">
      <c r="A43" t="s">
        <v>159</v>
      </c>
      <c r="B43" s="23">
        <v>46074</v>
      </c>
      <c r="C43" t="s">
        <v>84</v>
      </c>
      <c r="D43" t="s">
        <v>47</v>
      </c>
      <c r="E43" t="s">
        <v>65</v>
      </c>
      <c r="F43" t="s">
        <v>98</v>
      </c>
      <c r="G43" t="s">
        <v>69</v>
      </c>
      <c r="H43">
        <v>32</v>
      </c>
      <c r="I43" s="19">
        <v>12.25</v>
      </c>
      <c r="J43" t="s">
        <v>44</v>
      </c>
      <c r="K43">
        <f>_xlfn.XLOOKUP(tbl_Q1_Sales[[#This Row],[Order ID]], Discount_Order_tbl[Order ID], Discount_Order_tbl[Discount %], 0)</f>
        <v>7.5</v>
      </c>
      <c r="L43" s="19">
        <f>tbl_Q1_Sales[[#This Row],[Units]]*tbl_Q1_Sales[[#This Row],[Unit Price]]</f>
        <v>392</v>
      </c>
      <c r="M43" s="19">
        <f>tbl_Q1_Sales[[#This Row],[Net Revenue]]*(1-tbl_Q1_Sales[[#This Row],[Discount %]]/100)</f>
        <v>362.6</v>
      </c>
    </row>
    <row r="44" spans="1:13" x14ac:dyDescent="0.2">
      <c r="A44" t="s">
        <v>237</v>
      </c>
      <c r="B44" s="23">
        <v>46032</v>
      </c>
      <c r="C44" t="s">
        <v>83</v>
      </c>
      <c r="D44" t="s">
        <v>63</v>
      </c>
      <c r="E44" t="s">
        <v>34</v>
      </c>
      <c r="F44" t="s">
        <v>57</v>
      </c>
      <c r="G44" t="s">
        <v>40</v>
      </c>
      <c r="H44">
        <v>16</v>
      </c>
      <c r="I44" s="19">
        <v>340</v>
      </c>
      <c r="J44" t="s">
        <v>36</v>
      </c>
      <c r="K44">
        <f>_xlfn.XLOOKUP(tbl_Q1_Sales[[#This Row],[Order ID]], Discount_Order_tbl[Order ID], Discount_Order_tbl[Discount %], 0)</f>
        <v>0</v>
      </c>
      <c r="L44" s="19">
        <f>tbl_Q1_Sales[[#This Row],[Units]]*tbl_Q1_Sales[[#This Row],[Unit Price]]</f>
        <v>5440</v>
      </c>
      <c r="M44" s="19">
        <f>tbl_Q1_Sales[[#This Row],[Net Revenue]]*(1-tbl_Q1_Sales[[#This Row],[Discount %]]/100)</f>
        <v>5440</v>
      </c>
    </row>
    <row r="45" spans="1:13" x14ac:dyDescent="0.2">
      <c r="A45" t="s">
        <v>238</v>
      </c>
      <c r="B45" s="23">
        <v>46051</v>
      </c>
      <c r="C45" t="s">
        <v>132</v>
      </c>
      <c r="D45" t="s">
        <v>42</v>
      </c>
      <c r="E45" t="s">
        <v>38</v>
      </c>
      <c r="F45" t="s">
        <v>28</v>
      </c>
      <c r="G45" t="s">
        <v>29</v>
      </c>
      <c r="H45">
        <v>38</v>
      </c>
      <c r="I45" s="19">
        <v>94.75</v>
      </c>
      <c r="J45" t="s">
        <v>36</v>
      </c>
      <c r="K45">
        <f>_xlfn.XLOOKUP(tbl_Q1_Sales[[#This Row],[Order ID]], Discount_Order_tbl[Order ID], Discount_Order_tbl[Discount %], 0)</f>
        <v>0</v>
      </c>
      <c r="L45" s="19">
        <f>tbl_Q1_Sales[[#This Row],[Units]]*tbl_Q1_Sales[[#This Row],[Unit Price]]</f>
        <v>3600.5</v>
      </c>
      <c r="M45" s="19">
        <f>tbl_Q1_Sales[[#This Row],[Net Revenue]]*(1-tbl_Q1_Sales[[#This Row],[Discount %]]/100)</f>
        <v>3600.5</v>
      </c>
    </row>
    <row r="46" spans="1:13" x14ac:dyDescent="0.2">
      <c r="A46" t="s">
        <v>158</v>
      </c>
      <c r="B46" s="23">
        <v>46033</v>
      </c>
      <c r="C46" t="s">
        <v>53</v>
      </c>
      <c r="D46" t="s">
        <v>47</v>
      </c>
      <c r="E46" t="s">
        <v>65</v>
      </c>
      <c r="F46" t="s">
        <v>28</v>
      </c>
      <c r="G46" t="s">
        <v>29</v>
      </c>
      <c r="H46">
        <v>19</v>
      </c>
      <c r="I46" s="19">
        <v>94.75</v>
      </c>
      <c r="J46" t="s">
        <v>76</v>
      </c>
      <c r="K46">
        <f>_xlfn.XLOOKUP(tbl_Q1_Sales[[#This Row],[Order ID]], Discount_Order_tbl[Order ID], Discount_Order_tbl[Discount %], 0)</f>
        <v>12.5</v>
      </c>
      <c r="L46" s="19">
        <f>tbl_Q1_Sales[[#This Row],[Units]]*tbl_Q1_Sales[[#This Row],[Unit Price]]</f>
        <v>1800.25</v>
      </c>
      <c r="M46" s="19">
        <f>tbl_Q1_Sales[[#This Row],[Net Revenue]]*(1-tbl_Q1_Sales[[#This Row],[Discount %]]/100)</f>
        <v>1575.21875</v>
      </c>
    </row>
    <row r="47" spans="1:13" x14ac:dyDescent="0.2">
      <c r="A47" t="s">
        <v>239</v>
      </c>
      <c r="B47" s="23">
        <v>46082</v>
      </c>
      <c r="C47" t="s">
        <v>50</v>
      </c>
      <c r="D47" t="s">
        <v>51</v>
      </c>
      <c r="E47" t="s">
        <v>43</v>
      </c>
      <c r="F47" t="s">
        <v>57</v>
      </c>
      <c r="G47" t="s">
        <v>40</v>
      </c>
      <c r="H47">
        <v>24</v>
      </c>
      <c r="I47" s="19">
        <v>340</v>
      </c>
      <c r="J47" t="s">
        <v>36</v>
      </c>
      <c r="K47">
        <f>_xlfn.XLOOKUP(tbl_Q1_Sales[[#This Row],[Order ID]], Discount_Order_tbl[Order ID], Discount_Order_tbl[Discount %], 0)</f>
        <v>0</v>
      </c>
      <c r="L47" s="19">
        <f>tbl_Q1_Sales[[#This Row],[Units]]*tbl_Q1_Sales[[#This Row],[Unit Price]]</f>
        <v>8160</v>
      </c>
      <c r="M47" s="19">
        <f>tbl_Q1_Sales[[#This Row],[Net Revenue]]*(1-tbl_Q1_Sales[[#This Row],[Discount %]]/100)</f>
        <v>8160</v>
      </c>
    </row>
    <row r="48" spans="1:13" x14ac:dyDescent="0.2">
      <c r="A48" t="s">
        <v>240</v>
      </c>
      <c r="B48" s="23">
        <v>46085</v>
      </c>
      <c r="C48" t="s">
        <v>59</v>
      </c>
      <c r="D48" t="s">
        <v>42</v>
      </c>
      <c r="E48" t="s">
        <v>38</v>
      </c>
      <c r="F48" t="s">
        <v>35</v>
      </c>
      <c r="G48" t="s">
        <v>29</v>
      </c>
      <c r="H48">
        <v>12</v>
      </c>
      <c r="I48" s="19">
        <v>68</v>
      </c>
      <c r="J48" t="s">
        <v>36</v>
      </c>
      <c r="K48">
        <f>_xlfn.XLOOKUP(tbl_Q1_Sales[[#This Row],[Order ID]], Discount_Order_tbl[Order ID], Discount_Order_tbl[Discount %], 0)</f>
        <v>0</v>
      </c>
      <c r="L48" s="19">
        <f>tbl_Q1_Sales[[#This Row],[Units]]*tbl_Q1_Sales[[#This Row],[Unit Price]]</f>
        <v>816</v>
      </c>
      <c r="M48" s="19">
        <f>tbl_Q1_Sales[[#This Row],[Net Revenue]]*(1-tbl_Q1_Sales[[#This Row],[Discount %]]/100)</f>
        <v>816</v>
      </c>
    </row>
    <row r="49" spans="1:13" x14ac:dyDescent="0.2">
      <c r="A49" t="s">
        <v>241</v>
      </c>
      <c r="B49" s="23">
        <v>46099</v>
      </c>
      <c r="C49" t="s">
        <v>70</v>
      </c>
      <c r="D49" t="s">
        <v>42</v>
      </c>
      <c r="E49" t="s">
        <v>38</v>
      </c>
      <c r="F49" t="s">
        <v>86</v>
      </c>
      <c r="G49" t="s">
        <v>87</v>
      </c>
      <c r="H49">
        <v>33</v>
      </c>
      <c r="I49" s="19">
        <v>24.5</v>
      </c>
      <c r="J49" t="s">
        <v>44</v>
      </c>
      <c r="K49">
        <f>_xlfn.XLOOKUP(tbl_Q1_Sales[[#This Row],[Order ID]], Discount_Order_tbl[Order ID], Discount_Order_tbl[Discount %], 0)</f>
        <v>0</v>
      </c>
      <c r="L49" s="19">
        <f>tbl_Q1_Sales[[#This Row],[Units]]*tbl_Q1_Sales[[#This Row],[Unit Price]]</f>
        <v>808.5</v>
      </c>
      <c r="M49" s="19">
        <f>tbl_Q1_Sales[[#This Row],[Net Revenue]]*(1-tbl_Q1_Sales[[#This Row],[Discount %]]/100)</f>
        <v>808.5</v>
      </c>
    </row>
    <row r="50" spans="1:13" x14ac:dyDescent="0.2">
      <c r="A50" t="s">
        <v>242</v>
      </c>
      <c r="B50" s="23">
        <v>46074</v>
      </c>
      <c r="C50" t="s">
        <v>129</v>
      </c>
      <c r="D50" t="s">
        <v>47</v>
      </c>
      <c r="E50" t="s">
        <v>65</v>
      </c>
      <c r="F50" t="s">
        <v>96</v>
      </c>
      <c r="G50" t="s">
        <v>40</v>
      </c>
      <c r="H50">
        <v>14</v>
      </c>
      <c r="I50" s="19">
        <v>189</v>
      </c>
      <c r="J50" t="s">
        <v>76</v>
      </c>
      <c r="K50">
        <f>_xlfn.XLOOKUP(tbl_Q1_Sales[[#This Row],[Order ID]], Discount_Order_tbl[Order ID], Discount_Order_tbl[Discount %], 0)</f>
        <v>0</v>
      </c>
      <c r="L50" s="19">
        <f>tbl_Q1_Sales[[#This Row],[Units]]*tbl_Q1_Sales[[#This Row],[Unit Price]]</f>
        <v>2646</v>
      </c>
      <c r="M50" s="19">
        <f>tbl_Q1_Sales[[#This Row],[Net Revenue]]*(1-tbl_Q1_Sales[[#This Row],[Discount %]]/100)</f>
        <v>2646</v>
      </c>
    </row>
    <row r="51" spans="1:13" x14ac:dyDescent="0.2">
      <c r="A51" t="s">
        <v>243</v>
      </c>
      <c r="B51" s="23">
        <v>46065</v>
      </c>
      <c r="C51" t="s">
        <v>53</v>
      </c>
      <c r="D51" t="s">
        <v>47</v>
      </c>
      <c r="E51" t="s">
        <v>34</v>
      </c>
      <c r="F51" t="s">
        <v>96</v>
      </c>
      <c r="G51" t="s">
        <v>40</v>
      </c>
      <c r="H51">
        <v>10</v>
      </c>
      <c r="I51" s="19">
        <v>189</v>
      </c>
      <c r="J51" t="s">
        <v>36</v>
      </c>
      <c r="K51">
        <f>_xlfn.XLOOKUP(tbl_Q1_Sales[[#This Row],[Order ID]], Discount_Order_tbl[Order ID], Discount_Order_tbl[Discount %], 0)</f>
        <v>0</v>
      </c>
      <c r="L51" s="19">
        <f>tbl_Q1_Sales[[#This Row],[Units]]*tbl_Q1_Sales[[#This Row],[Unit Price]]</f>
        <v>1890</v>
      </c>
      <c r="M51" s="19">
        <f>tbl_Q1_Sales[[#This Row],[Net Revenue]]*(1-tbl_Q1_Sales[[#This Row],[Discount %]]/100)</f>
        <v>1890</v>
      </c>
    </row>
    <row r="52" spans="1:13" x14ac:dyDescent="0.2">
      <c r="A52" t="s">
        <v>244</v>
      </c>
      <c r="B52" s="23">
        <v>46057</v>
      </c>
      <c r="C52" t="s">
        <v>89</v>
      </c>
      <c r="D52" t="s">
        <v>51</v>
      </c>
      <c r="E52" t="s">
        <v>34</v>
      </c>
      <c r="F52" t="s">
        <v>96</v>
      </c>
      <c r="G52" t="s">
        <v>40</v>
      </c>
      <c r="H52">
        <v>23</v>
      </c>
      <c r="I52" s="19">
        <v>189</v>
      </c>
      <c r="J52" t="s">
        <v>55</v>
      </c>
      <c r="K52">
        <f>_xlfn.XLOOKUP(tbl_Q1_Sales[[#This Row],[Order ID]], Discount_Order_tbl[Order ID], Discount_Order_tbl[Discount %], 0)</f>
        <v>0</v>
      </c>
      <c r="L52" s="19">
        <f>tbl_Q1_Sales[[#This Row],[Units]]*tbl_Q1_Sales[[#This Row],[Unit Price]]</f>
        <v>4347</v>
      </c>
      <c r="M52" s="19">
        <f>tbl_Q1_Sales[[#This Row],[Net Revenue]]*(1-tbl_Q1_Sales[[#This Row],[Discount %]]/100)</f>
        <v>4347</v>
      </c>
    </row>
    <row r="53" spans="1:13" x14ac:dyDescent="0.2">
      <c r="A53" t="s">
        <v>245</v>
      </c>
      <c r="B53" s="23">
        <v>46042</v>
      </c>
      <c r="C53" t="s">
        <v>50</v>
      </c>
      <c r="D53" t="s">
        <v>51</v>
      </c>
      <c r="E53" t="s">
        <v>27</v>
      </c>
      <c r="F53" t="s">
        <v>86</v>
      </c>
      <c r="G53" t="s">
        <v>87</v>
      </c>
      <c r="H53">
        <v>25</v>
      </c>
      <c r="I53" s="19">
        <v>24.5</v>
      </c>
      <c r="J53" t="s">
        <v>44</v>
      </c>
      <c r="K53">
        <f>_xlfn.XLOOKUP(tbl_Q1_Sales[[#This Row],[Order ID]], Discount_Order_tbl[Order ID], Discount_Order_tbl[Discount %], 0)</f>
        <v>0</v>
      </c>
      <c r="L53" s="19">
        <f>tbl_Q1_Sales[[#This Row],[Units]]*tbl_Q1_Sales[[#This Row],[Unit Price]]</f>
        <v>612.5</v>
      </c>
      <c r="M53" s="19">
        <f>tbl_Q1_Sales[[#This Row],[Net Revenue]]*(1-tbl_Q1_Sales[[#This Row],[Discount %]]/100)</f>
        <v>612.5</v>
      </c>
    </row>
    <row r="54" spans="1:13" x14ac:dyDescent="0.2">
      <c r="A54" t="s">
        <v>246</v>
      </c>
      <c r="B54" s="23">
        <v>46103</v>
      </c>
      <c r="C54" t="s">
        <v>60</v>
      </c>
      <c r="D54" t="s">
        <v>51</v>
      </c>
      <c r="E54" t="s">
        <v>43</v>
      </c>
      <c r="F54" t="s">
        <v>86</v>
      </c>
      <c r="G54" t="s">
        <v>87</v>
      </c>
      <c r="H54">
        <v>27</v>
      </c>
      <c r="I54" s="19">
        <v>24.5</v>
      </c>
      <c r="J54" t="s">
        <v>76</v>
      </c>
      <c r="K54">
        <f>_xlfn.XLOOKUP(tbl_Q1_Sales[[#This Row],[Order ID]], Discount_Order_tbl[Order ID], Discount_Order_tbl[Discount %], 0)</f>
        <v>0</v>
      </c>
      <c r="L54" s="19">
        <f>tbl_Q1_Sales[[#This Row],[Units]]*tbl_Q1_Sales[[#This Row],[Unit Price]]</f>
        <v>661.5</v>
      </c>
      <c r="M54" s="19">
        <f>tbl_Q1_Sales[[#This Row],[Net Revenue]]*(1-tbl_Q1_Sales[[#This Row],[Discount %]]/100)</f>
        <v>661.5</v>
      </c>
    </row>
    <row r="55" spans="1:13" x14ac:dyDescent="0.2">
      <c r="A55" t="s">
        <v>180</v>
      </c>
      <c r="B55" s="23">
        <v>46051</v>
      </c>
      <c r="C55" t="s">
        <v>25</v>
      </c>
      <c r="D55" t="s">
        <v>47</v>
      </c>
      <c r="E55" t="s">
        <v>43</v>
      </c>
      <c r="F55" t="s">
        <v>39</v>
      </c>
      <c r="G55" t="s">
        <v>40</v>
      </c>
      <c r="H55">
        <v>17</v>
      </c>
      <c r="I55" s="19">
        <v>76.5</v>
      </c>
      <c r="J55" t="s">
        <v>76</v>
      </c>
      <c r="K55">
        <f>_xlfn.XLOOKUP(tbl_Q1_Sales[[#This Row],[Order ID]], Discount_Order_tbl[Order ID], Discount_Order_tbl[Discount %], 0)</f>
        <v>22.5</v>
      </c>
      <c r="L55" s="19">
        <f>tbl_Q1_Sales[[#This Row],[Units]]*tbl_Q1_Sales[[#This Row],[Unit Price]]</f>
        <v>1300.5</v>
      </c>
      <c r="M55" s="19">
        <f>tbl_Q1_Sales[[#This Row],[Net Revenue]]*(1-tbl_Q1_Sales[[#This Row],[Discount %]]/100)</f>
        <v>1007.8875</v>
      </c>
    </row>
    <row r="56" spans="1:13" x14ac:dyDescent="0.2">
      <c r="A56" t="s">
        <v>249</v>
      </c>
      <c r="B56" s="23">
        <v>46107</v>
      </c>
      <c r="C56" t="s">
        <v>32</v>
      </c>
      <c r="D56" t="s">
        <v>63</v>
      </c>
      <c r="E56" t="s">
        <v>65</v>
      </c>
      <c r="F56" t="s">
        <v>28</v>
      </c>
      <c r="G56" t="s">
        <v>29</v>
      </c>
      <c r="H56">
        <v>4</v>
      </c>
      <c r="I56" s="19">
        <v>94.75</v>
      </c>
      <c r="J56" t="s">
        <v>76</v>
      </c>
      <c r="K56">
        <f>_xlfn.XLOOKUP(tbl_Q1_Sales[[#This Row],[Order ID]], Discount_Order_tbl[Order ID], Discount_Order_tbl[Discount %], 0)</f>
        <v>0</v>
      </c>
      <c r="L56" s="19">
        <f>tbl_Q1_Sales[[#This Row],[Units]]*tbl_Q1_Sales[[#This Row],[Unit Price]]</f>
        <v>379</v>
      </c>
      <c r="M56" s="19">
        <f>tbl_Q1_Sales[[#This Row],[Net Revenue]]*(1-tbl_Q1_Sales[[#This Row],[Discount %]]/100)</f>
        <v>379</v>
      </c>
    </row>
    <row r="57" spans="1:13" x14ac:dyDescent="0.2">
      <c r="A57" t="s">
        <v>250</v>
      </c>
      <c r="B57" s="23">
        <v>46073</v>
      </c>
      <c r="C57" t="s">
        <v>25</v>
      </c>
      <c r="D57" t="s">
        <v>42</v>
      </c>
      <c r="E57" t="s">
        <v>27</v>
      </c>
      <c r="F57" t="s">
        <v>98</v>
      </c>
      <c r="G57" t="s">
        <v>69</v>
      </c>
      <c r="H57">
        <v>26</v>
      </c>
      <c r="I57" s="19">
        <v>12.25</v>
      </c>
      <c r="J57" t="s">
        <v>76</v>
      </c>
      <c r="K57">
        <f>_xlfn.XLOOKUP(tbl_Q1_Sales[[#This Row],[Order ID]], Discount_Order_tbl[Order ID], Discount_Order_tbl[Discount %], 0)</f>
        <v>0</v>
      </c>
      <c r="L57" s="19">
        <f>tbl_Q1_Sales[[#This Row],[Units]]*tbl_Q1_Sales[[#This Row],[Unit Price]]</f>
        <v>318.5</v>
      </c>
      <c r="M57" s="19">
        <f>tbl_Q1_Sales[[#This Row],[Net Revenue]]*(1-tbl_Q1_Sales[[#This Row],[Discount %]]/100)</f>
        <v>318.5</v>
      </c>
    </row>
    <row r="58" spans="1:13" x14ac:dyDescent="0.2">
      <c r="A58" t="s">
        <v>167</v>
      </c>
      <c r="B58" s="23">
        <v>46024</v>
      </c>
      <c r="C58" t="s">
        <v>129</v>
      </c>
      <c r="D58" t="s">
        <v>42</v>
      </c>
      <c r="E58" t="s">
        <v>27</v>
      </c>
      <c r="F58" t="s">
        <v>86</v>
      </c>
      <c r="G58" t="s">
        <v>87</v>
      </c>
      <c r="H58">
        <v>15</v>
      </c>
      <c r="I58" s="19">
        <v>24.5</v>
      </c>
      <c r="J58" t="s">
        <v>76</v>
      </c>
      <c r="K58">
        <f>_xlfn.XLOOKUP(tbl_Q1_Sales[[#This Row],[Order ID]], Discount_Order_tbl[Order ID], Discount_Order_tbl[Discount %], 0)</f>
        <v>5</v>
      </c>
      <c r="L58" s="19">
        <f>tbl_Q1_Sales[[#This Row],[Units]]*tbl_Q1_Sales[[#This Row],[Unit Price]]</f>
        <v>367.5</v>
      </c>
      <c r="M58" s="19">
        <f>tbl_Q1_Sales[[#This Row],[Net Revenue]]*(1-tbl_Q1_Sales[[#This Row],[Discount %]]/100)</f>
        <v>349.125</v>
      </c>
    </row>
    <row r="59" spans="1:13" x14ac:dyDescent="0.2">
      <c r="A59" t="s">
        <v>251</v>
      </c>
      <c r="B59" s="23">
        <v>46088</v>
      </c>
      <c r="C59" t="s">
        <v>89</v>
      </c>
      <c r="D59" t="s">
        <v>42</v>
      </c>
      <c r="E59" t="s">
        <v>65</v>
      </c>
      <c r="F59" t="s">
        <v>39</v>
      </c>
      <c r="G59" t="s">
        <v>40</v>
      </c>
      <c r="H59">
        <v>5</v>
      </c>
      <c r="I59" s="19">
        <v>76.5</v>
      </c>
      <c r="J59" t="s">
        <v>36</v>
      </c>
      <c r="K59">
        <f>_xlfn.XLOOKUP(tbl_Q1_Sales[[#This Row],[Order ID]], Discount_Order_tbl[Order ID], Discount_Order_tbl[Discount %], 0)</f>
        <v>0</v>
      </c>
      <c r="L59" s="19">
        <f>tbl_Q1_Sales[[#This Row],[Units]]*tbl_Q1_Sales[[#This Row],[Unit Price]]</f>
        <v>382.5</v>
      </c>
      <c r="M59" s="19">
        <f>tbl_Q1_Sales[[#This Row],[Net Revenue]]*(1-tbl_Q1_Sales[[#This Row],[Discount %]]/100)</f>
        <v>382.5</v>
      </c>
    </row>
    <row r="60" spans="1:13" x14ac:dyDescent="0.2">
      <c r="A60" t="s">
        <v>252</v>
      </c>
      <c r="B60" s="23">
        <v>46028</v>
      </c>
      <c r="C60" t="s">
        <v>50</v>
      </c>
      <c r="D60" t="s">
        <v>51</v>
      </c>
      <c r="E60" t="s">
        <v>27</v>
      </c>
      <c r="F60" t="s">
        <v>35</v>
      </c>
      <c r="G60" t="s">
        <v>29</v>
      </c>
      <c r="H60">
        <v>30</v>
      </c>
      <c r="I60" s="19">
        <v>68</v>
      </c>
      <c r="J60" t="s">
        <v>36</v>
      </c>
      <c r="K60">
        <f>_xlfn.XLOOKUP(tbl_Q1_Sales[[#This Row],[Order ID]], Discount_Order_tbl[Order ID], Discount_Order_tbl[Discount %], 0)</f>
        <v>0</v>
      </c>
      <c r="L60" s="19">
        <f>tbl_Q1_Sales[[#This Row],[Units]]*tbl_Q1_Sales[[#This Row],[Unit Price]]</f>
        <v>2040</v>
      </c>
      <c r="M60" s="19">
        <f>tbl_Q1_Sales[[#This Row],[Net Revenue]]*(1-tbl_Q1_Sales[[#This Row],[Discount %]]/100)</f>
        <v>2040</v>
      </c>
    </row>
    <row r="61" spans="1:13" x14ac:dyDescent="0.2">
      <c r="A61" t="s">
        <v>253</v>
      </c>
      <c r="B61" s="23">
        <v>46026</v>
      </c>
      <c r="C61" t="s">
        <v>95</v>
      </c>
      <c r="D61" t="s">
        <v>42</v>
      </c>
      <c r="E61" t="s">
        <v>65</v>
      </c>
      <c r="F61" t="s">
        <v>98</v>
      </c>
      <c r="G61" t="s">
        <v>69</v>
      </c>
      <c r="H61">
        <v>31</v>
      </c>
      <c r="I61" s="19">
        <v>12.25</v>
      </c>
      <c r="J61" t="s">
        <v>36</v>
      </c>
      <c r="K61">
        <f>_xlfn.XLOOKUP(tbl_Q1_Sales[[#This Row],[Order ID]], Discount_Order_tbl[Order ID], Discount_Order_tbl[Discount %], 0)</f>
        <v>0</v>
      </c>
      <c r="L61" s="19">
        <f>tbl_Q1_Sales[[#This Row],[Units]]*tbl_Q1_Sales[[#This Row],[Unit Price]]</f>
        <v>379.75</v>
      </c>
      <c r="M61" s="19">
        <f>tbl_Q1_Sales[[#This Row],[Net Revenue]]*(1-tbl_Q1_Sales[[#This Row],[Discount %]]/100)</f>
        <v>379.75</v>
      </c>
    </row>
    <row r="62" spans="1:13" x14ac:dyDescent="0.2">
      <c r="A62" t="s">
        <v>255</v>
      </c>
      <c r="B62" s="23">
        <v>46035</v>
      </c>
      <c r="C62" t="s">
        <v>46</v>
      </c>
      <c r="D62" t="s">
        <v>47</v>
      </c>
      <c r="E62" t="s">
        <v>65</v>
      </c>
      <c r="F62" t="s">
        <v>48</v>
      </c>
      <c r="G62" t="s">
        <v>49</v>
      </c>
      <c r="H62">
        <v>14</v>
      </c>
      <c r="I62" s="19">
        <v>44</v>
      </c>
      <c r="J62" t="s">
        <v>55</v>
      </c>
      <c r="K62">
        <f>_xlfn.XLOOKUP(tbl_Q1_Sales[[#This Row],[Order ID]], Discount_Order_tbl[Order ID], Discount_Order_tbl[Discount %], 0)</f>
        <v>0</v>
      </c>
      <c r="L62" s="19">
        <f>tbl_Q1_Sales[[#This Row],[Units]]*tbl_Q1_Sales[[#This Row],[Unit Price]]</f>
        <v>616</v>
      </c>
      <c r="M62" s="19">
        <f>tbl_Q1_Sales[[#This Row],[Net Revenue]]*(1-tbl_Q1_Sales[[#This Row],[Discount %]]/100)</f>
        <v>616</v>
      </c>
    </row>
    <row r="63" spans="1:13" x14ac:dyDescent="0.2">
      <c r="A63" t="s">
        <v>256</v>
      </c>
      <c r="B63" s="23">
        <v>46053</v>
      </c>
      <c r="C63" t="s">
        <v>84</v>
      </c>
      <c r="D63" t="s">
        <v>63</v>
      </c>
      <c r="E63" t="s">
        <v>38</v>
      </c>
      <c r="F63" t="s">
        <v>54</v>
      </c>
      <c r="G63" t="s">
        <v>49</v>
      </c>
      <c r="H63">
        <v>15</v>
      </c>
      <c r="I63" s="19">
        <v>21.99</v>
      </c>
      <c r="J63" t="s">
        <v>31</v>
      </c>
      <c r="K63">
        <f>_xlfn.XLOOKUP(tbl_Q1_Sales[[#This Row],[Order ID]], Discount_Order_tbl[Order ID], Discount_Order_tbl[Discount %], 0)</f>
        <v>0</v>
      </c>
      <c r="L63" s="19">
        <f>tbl_Q1_Sales[[#This Row],[Units]]*tbl_Q1_Sales[[#This Row],[Unit Price]]</f>
        <v>329.84999999999997</v>
      </c>
      <c r="M63" s="19">
        <f>tbl_Q1_Sales[[#This Row],[Net Revenue]]*(1-tbl_Q1_Sales[[#This Row],[Discount %]]/100)</f>
        <v>329.84999999999997</v>
      </c>
    </row>
    <row r="64" spans="1:13" x14ac:dyDescent="0.2">
      <c r="A64" t="s">
        <v>257</v>
      </c>
      <c r="B64" s="23">
        <v>46088</v>
      </c>
      <c r="C64" t="s">
        <v>112</v>
      </c>
      <c r="D64" t="s">
        <v>42</v>
      </c>
      <c r="E64" t="s">
        <v>38</v>
      </c>
      <c r="F64" t="s">
        <v>57</v>
      </c>
      <c r="G64" t="s">
        <v>40</v>
      </c>
      <c r="H64">
        <v>20</v>
      </c>
      <c r="I64" s="19">
        <v>340</v>
      </c>
      <c r="J64" t="s">
        <v>44</v>
      </c>
      <c r="K64">
        <f>_xlfn.XLOOKUP(tbl_Q1_Sales[[#This Row],[Order ID]], Discount_Order_tbl[Order ID], Discount_Order_tbl[Discount %], 0)</f>
        <v>0</v>
      </c>
      <c r="L64" s="19">
        <f>tbl_Q1_Sales[[#This Row],[Units]]*tbl_Q1_Sales[[#This Row],[Unit Price]]</f>
        <v>6800</v>
      </c>
      <c r="M64" s="19">
        <f>tbl_Q1_Sales[[#This Row],[Net Revenue]]*(1-tbl_Q1_Sales[[#This Row],[Discount %]]/100)</f>
        <v>6800</v>
      </c>
    </row>
    <row r="65" spans="1:13" x14ac:dyDescent="0.2">
      <c r="A65" t="s">
        <v>258</v>
      </c>
      <c r="B65" s="23">
        <v>46023</v>
      </c>
      <c r="C65" t="s">
        <v>60</v>
      </c>
      <c r="D65" t="s">
        <v>51</v>
      </c>
      <c r="E65" t="s">
        <v>38</v>
      </c>
      <c r="F65" t="s">
        <v>54</v>
      </c>
      <c r="G65" t="s">
        <v>49</v>
      </c>
      <c r="H65">
        <v>11</v>
      </c>
      <c r="I65" s="19">
        <v>21.99</v>
      </c>
      <c r="J65" t="s">
        <v>36</v>
      </c>
      <c r="K65">
        <f>_xlfn.XLOOKUP(tbl_Q1_Sales[[#This Row],[Order ID]], Discount_Order_tbl[Order ID], Discount_Order_tbl[Discount %], 0)</f>
        <v>0</v>
      </c>
      <c r="L65" s="19">
        <f>tbl_Q1_Sales[[#This Row],[Units]]*tbl_Q1_Sales[[#This Row],[Unit Price]]</f>
        <v>241.89</v>
      </c>
      <c r="M65" s="19">
        <f>tbl_Q1_Sales[[#This Row],[Net Revenue]]*(1-tbl_Q1_Sales[[#This Row],[Discount %]]/100)</f>
        <v>241.89</v>
      </c>
    </row>
    <row r="66" spans="1:13" x14ac:dyDescent="0.2">
      <c r="A66" t="s">
        <v>260</v>
      </c>
      <c r="B66" s="23">
        <v>46066</v>
      </c>
      <c r="C66" t="s">
        <v>70</v>
      </c>
      <c r="D66" t="s">
        <v>42</v>
      </c>
      <c r="E66" t="s">
        <v>27</v>
      </c>
      <c r="F66" t="s">
        <v>39</v>
      </c>
      <c r="G66" t="s">
        <v>40</v>
      </c>
      <c r="H66">
        <v>12</v>
      </c>
      <c r="I66" s="19">
        <v>76.5</v>
      </c>
      <c r="J66" t="s">
        <v>36</v>
      </c>
      <c r="K66">
        <f>_xlfn.XLOOKUP(tbl_Q1_Sales[[#This Row],[Order ID]], Discount_Order_tbl[Order ID], Discount_Order_tbl[Discount %], 0)</f>
        <v>0</v>
      </c>
      <c r="L66" s="19">
        <f>tbl_Q1_Sales[[#This Row],[Units]]*tbl_Q1_Sales[[#This Row],[Unit Price]]</f>
        <v>918</v>
      </c>
      <c r="M66" s="19">
        <f>tbl_Q1_Sales[[#This Row],[Net Revenue]]*(1-tbl_Q1_Sales[[#This Row],[Discount %]]/100)</f>
        <v>918</v>
      </c>
    </row>
    <row r="67" spans="1:13" x14ac:dyDescent="0.2">
      <c r="A67" t="s">
        <v>262</v>
      </c>
      <c r="B67" s="23">
        <v>46102</v>
      </c>
      <c r="C67" t="s">
        <v>53</v>
      </c>
      <c r="D67" t="s">
        <v>47</v>
      </c>
      <c r="E67" t="s">
        <v>43</v>
      </c>
      <c r="F67" t="s">
        <v>54</v>
      </c>
      <c r="G67" t="s">
        <v>49</v>
      </c>
      <c r="H67">
        <v>14</v>
      </c>
      <c r="I67" s="19">
        <v>21.99</v>
      </c>
      <c r="J67" t="s">
        <v>36</v>
      </c>
      <c r="K67">
        <f>_xlfn.XLOOKUP(tbl_Q1_Sales[[#This Row],[Order ID]], Discount_Order_tbl[Order ID], Discount_Order_tbl[Discount %], 0)</f>
        <v>0</v>
      </c>
      <c r="L67" s="19">
        <f>tbl_Q1_Sales[[#This Row],[Units]]*tbl_Q1_Sales[[#This Row],[Unit Price]]</f>
        <v>307.85999999999996</v>
      </c>
      <c r="M67" s="19">
        <f>tbl_Q1_Sales[[#This Row],[Net Revenue]]*(1-tbl_Q1_Sales[[#This Row],[Discount %]]/100)</f>
        <v>307.85999999999996</v>
      </c>
    </row>
    <row r="68" spans="1:13" x14ac:dyDescent="0.2">
      <c r="A68" t="s">
        <v>263</v>
      </c>
      <c r="B68" s="23">
        <v>46083</v>
      </c>
      <c r="C68" t="s">
        <v>25</v>
      </c>
      <c r="D68" t="s">
        <v>47</v>
      </c>
      <c r="E68" t="s">
        <v>34</v>
      </c>
      <c r="F68" t="s">
        <v>68</v>
      </c>
      <c r="G68" t="s">
        <v>69</v>
      </c>
      <c r="H68">
        <v>39</v>
      </c>
      <c r="I68" s="19">
        <v>18.399999999999999</v>
      </c>
      <c r="J68" t="s">
        <v>44</v>
      </c>
      <c r="K68">
        <f>_xlfn.XLOOKUP(tbl_Q1_Sales[[#This Row],[Order ID]], Discount_Order_tbl[Order ID], Discount_Order_tbl[Discount %], 0)</f>
        <v>0</v>
      </c>
      <c r="L68" s="19">
        <f>tbl_Q1_Sales[[#This Row],[Units]]*tbl_Q1_Sales[[#This Row],[Unit Price]]</f>
        <v>717.59999999999991</v>
      </c>
      <c r="M68" s="19">
        <f>tbl_Q1_Sales[[#This Row],[Net Revenue]]*(1-tbl_Q1_Sales[[#This Row],[Discount %]]/100)</f>
        <v>717.59999999999991</v>
      </c>
    </row>
    <row r="69" spans="1:13" x14ac:dyDescent="0.2">
      <c r="A69" t="s">
        <v>265</v>
      </c>
      <c r="B69" s="23">
        <v>46086</v>
      </c>
      <c r="C69" t="s">
        <v>56</v>
      </c>
      <c r="D69" t="s">
        <v>63</v>
      </c>
      <c r="E69" t="s">
        <v>43</v>
      </c>
      <c r="F69" t="s">
        <v>28</v>
      </c>
      <c r="G69" t="s">
        <v>29</v>
      </c>
      <c r="H69">
        <v>10</v>
      </c>
      <c r="I69" s="19">
        <v>94.75</v>
      </c>
      <c r="J69" t="s">
        <v>36</v>
      </c>
      <c r="K69">
        <f>_xlfn.XLOOKUP(tbl_Q1_Sales[[#This Row],[Order ID]], Discount_Order_tbl[Order ID], Discount_Order_tbl[Discount %], 0)</f>
        <v>0</v>
      </c>
      <c r="L69" s="19">
        <f>tbl_Q1_Sales[[#This Row],[Units]]*tbl_Q1_Sales[[#This Row],[Unit Price]]</f>
        <v>947.5</v>
      </c>
      <c r="M69" s="19">
        <f>tbl_Q1_Sales[[#This Row],[Net Revenue]]*(1-tbl_Q1_Sales[[#This Row],[Discount %]]/100)</f>
        <v>947.5</v>
      </c>
    </row>
    <row r="70" spans="1:13" x14ac:dyDescent="0.2">
      <c r="A70" t="s">
        <v>189</v>
      </c>
      <c r="B70" s="23">
        <v>46083</v>
      </c>
      <c r="C70" t="s">
        <v>89</v>
      </c>
      <c r="D70" t="s">
        <v>47</v>
      </c>
      <c r="E70" t="s">
        <v>345</v>
      </c>
      <c r="F70" t="s">
        <v>39</v>
      </c>
      <c r="G70" t="s">
        <v>40</v>
      </c>
      <c r="H70">
        <v>19</v>
      </c>
      <c r="I70" s="19">
        <v>76.5</v>
      </c>
      <c r="J70" t="s">
        <v>44</v>
      </c>
      <c r="K70">
        <f>_xlfn.XLOOKUP(tbl_Q1_Sales[[#This Row],[Order ID]], Discount_Order_tbl[Order ID], Discount_Order_tbl[Discount %], 0)</f>
        <v>20</v>
      </c>
      <c r="L70" s="19">
        <f>tbl_Q1_Sales[[#This Row],[Units]]*tbl_Q1_Sales[[#This Row],[Unit Price]]</f>
        <v>1453.5</v>
      </c>
      <c r="M70" s="19">
        <f>tbl_Q1_Sales[[#This Row],[Net Revenue]]*(1-tbl_Q1_Sales[[#This Row],[Discount %]]/100)</f>
        <v>1162.8</v>
      </c>
    </row>
    <row r="71" spans="1:13" x14ac:dyDescent="0.2">
      <c r="A71" t="s">
        <v>266</v>
      </c>
      <c r="B71" s="23">
        <v>46075</v>
      </c>
      <c r="C71" t="s">
        <v>141</v>
      </c>
      <c r="D71" t="s">
        <v>51</v>
      </c>
      <c r="E71" t="s">
        <v>27</v>
      </c>
      <c r="F71" t="s">
        <v>39</v>
      </c>
      <c r="G71" t="s">
        <v>40</v>
      </c>
      <c r="H71">
        <v>25</v>
      </c>
      <c r="I71" s="19">
        <v>76.5</v>
      </c>
      <c r="J71" t="s">
        <v>36</v>
      </c>
      <c r="K71">
        <f>_xlfn.XLOOKUP(tbl_Q1_Sales[[#This Row],[Order ID]], Discount_Order_tbl[Order ID], Discount_Order_tbl[Discount %], 0)</f>
        <v>0</v>
      </c>
      <c r="L71" s="19">
        <f>tbl_Q1_Sales[[#This Row],[Units]]*tbl_Q1_Sales[[#This Row],[Unit Price]]</f>
        <v>1912.5</v>
      </c>
      <c r="M71" s="19">
        <f>tbl_Q1_Sales[[#This Row],[Net Revenue]]*(1-tbl_Q1_Sales[[#This Row],[Discount %]]/100)</f>
        <v>1912.5</v>
      </c>
    </row>
    <row r="72" spans="1:13" x14ac:dyDescent="0.2">
      <c r="A72" t="s">
        <v>267</v>
      </c>
      <c r="B72" s="23">
        <v>46030</v>
      </c>
      <c r="C72" t="s">
        <v>97</v>
      </c>
      <c r="D72" t="s">
        <v>63</v>
      </c>
      <c r="E72" t="s">
        <v>43</v>
      </c>
      <c r="F72" t="s">
        <v>48</v>
      </c>
      <c r="G72" t="s">
        <v>49</v>
      </c>
      <c r="H72">
        <v>27</v>
      </c>
      <c r="I72" s="19">
        <v>44</v>
      </c>
      <c r="J72" t="s">
        <v>36</v>
      </c>
      <c r="K72">
        <f>_xlfn.XLOOKUP(tbl_Q1_Sales[[#This Row],[Order ID]], Discount_Order_tbl[Order ID], Discount_Order_tbl[Discount %], 0)</f>
        <v>0</v>
      </c>
      <c r="L72" s="19">
        <f>tbl_Q1_Sales[[#This Row],[Units]]*tbl_Q1_Sales[[#This Row],[Unit Price]]</f>
        <v>1188</v>
      </c>
      <c r="M72" s="19">
        <f>tbl_Q1_Sales[[#This Row],[Net Revenue]]*(1-tbl_Q1_Sales[[#This Row],[Discount %]]/100)</f>
        <v>1188</v>
      </c>
    </row>
    <row r="73" spans="1:13" x14ac:dyDescent="0.2">
      <c r="A73" t="s">
        <v>268</v>
      </c>
      <c r="B73" s="23">
        <v>46024</v>
      </c>
      <c r="C73" t="s">
        <v>78</v>
      </c>
      <c r="D73" t="s">
        <v>51</v>
      </c>
      <c r="E73" t="s">
        <v>27</v>
      </c>
      <c r="F73" t="s">
        <v>35</v>
      </c>
      <c r="G73" t="s">
        <v>29</v>
      </c>
      <c r="H73">
        <v>9</v>
      </c>
      <c r="I73" s="19">
        <v>68</v>
      </c>
      <c r="J73" t="s">
        <v>36</v>
      </c>
      <c r="K73">
        <f>_xlfn.XLOOKUP(tbl_Q1_Sales[[#This Row],[Order ID]], Discount_Order_tbl[Order ID], Discount_Order_tbl[Discount %], 0)</f>
        <v>0</v>
      </c>
      <c r="L73" s="19">
        <f>tbl_Q1_Sales[[#This Row],[Units]]*tbl_Q1_Sales[[#This Row],[Unit Price]]</f>
        <v>612</v>
      </c>
      <c r="M73" s="19">
        <f>tbl_Q1_Sales[[#This Row],[Net Revenue]]*(1-tbl_Q1_Sales[[#This Row],[Discount %]]/100)</f>
        <v>612</v>
      </c>
    </row>
    <row r="74" spans="1:13" x14ac:dyDescent="0.2">
      <c r="A74" t="s">
        <v>269</v>
      </c>
      <c r="B74" s="23">
        <v>46094</v>
      </c>
      <c r="C74" t="s">
        <v>60</v>
      </c>
      <c r="D74" t="s">
        <v>63</v>
      </c>
      <c r="E74" t="s">
        <v>43</v>
      </c>
      <c r="F74" t="s">
        <v>86</v>
      </c>
      <c r="G74" t="s">
        <v>87</v>
      </c>
      <c r="H74">
        <v>5</v>
      </c>
      <c r="I74" s="19">
        <v>24.5</v>
      </c>
      <c r="J74" t="s">
        <v>44</v>
      </c>
      <c r="K74">
        <f>_xlfn.XLOOKUP(tbl_Q1_Sales[[#This Row],[Order ID]], Discount_Order_tbl[Order ID], Discount_Order_tbl[Discount %], 0)</f>
        <v>0</v>
      </c>
      <c r="L74" s="19">
        <f>tbl_Q1_Sales[[#This Row],[Units]]*tbl_Q1_Sales[[#This Row],[Unit Price]]</f>
        <v>122.5</v>
      </c>
      <c r="M74" s="19">
        <f>tbl_Q1_Sales[[#This Row],[Net Revenue]]*(1-tbl_Q1_Sales[[#This Row],[Discount %]]/100)</f>
        <v>122.5</v>
      </c>
    </row>
    <row r="75" spans="1:13" x14ac:dyDescent="0.2">
      <c r="A75" t="s">
        <v>270</v>
      </c>
      <c r="B75" s="23">
        <v>46065</v>
      </c>
      <c r="C75" t="s">
        <v>89</v>
      </c>
      <c r="D75" t="s">
        <v>42</v>
      </c>
      <c r="E75" t="s">
        <v>34</v>
      </c>
      <c r="F75" t="s">
        <v>39</v>
      </c>
      <c r="G75" t="s">
        <v>40</v>
      </c>
      <c r="H75">
        <v>24</v>
      </c>
      <c r="I75" s="19">
        <v>76.5</v>
      </c>
      <c r="J75" t="s">
        <v>36</v>
      </c>
      <c r="K75">
        <f>_xlfn.XLOOKUP(tbl_Q1_Sales[[#This Row],[Order ID]], Discount_Order_tbl[Order ID], Discount_Order_tbl[Discount %], 0)</f>
        <v>0</v>
      </c>
      <c r="L75" s="19">
        <f>tbl_Q1_Sales[[#This Row],[Units]]*tbl_Q1_Sales[[#This Row],[Unit Price]]</f>
        <v>1836</v>
      </c>
      <c r="M75" s="19">
        <f>tbl_Q1_Sales[[#This Row],[Net Revenue]]*(1-tbl_Q1_Sales[[#This Row],[Discount %]]/100)</f>
        <v>1836</v>
      </c>
    </row>
    <row r="76" spans="1:13" x14ac:dyDescent="0.2">
      <c r="A76" t="s">
        <v>272</v>
      </c>
      <c r="B76" s="23">
        <v>46030</v>
      </c>
      <c r="C76" t="s">
        <v>53</v>
      </c>
      <c r="D76" t="s">
        <v>42</v>
      </c>
      <c r="E76" t="s">
        <v>38</v>
      </c>
      <c r="F76" t="s">
        <v>86</v>
      </c>
      <c r="G76" t="s">
        <v>87</v>
      </c>
      <c r="H76">
        <v>9</v>
      </c>
      <c r="I76" s="19">
        <v>24.5</v>
      </c>
      <c r="J76" t="s">
        <v>36</v>
      </c>
      <c r="K76">
        <f>_xlfn.XLOOKUP(tbl_Q1_Sales[[#This Row],[Order ID]], Discount_Order_tbl[Order ID], Discount_Order_tbl[Discount %], 0)</f>
        <v>0</v>
      </c>
      <c r="L76" s="19">
        <f>tbl_Q1_Sales[[#This Row],[Units]]*tbl_Q1_Sales[[#This Row],[Unit Price]]</f>
        <v>220.5</v>
      </c>
      <c r="M76" s="19">
        <f>tbl_Q1_Sales[[#This Row],[Net Revenue]]*(1-tbl_Q1_Sales[[#This Row],[Discount %]]/100)</f>
        <v>220.5</v>
      </c>
    </row>
    <row r="77" spans="1:13" x14ac:dyDescent="0.2">
      <c r="A77" t="s">
        <v>168</v>
      </c>
      <c r="B77" s="23">
        <v>46101</v>
      </c>
      <c r="C77" t="s">
        <v>60</v>
      </c>
      <c r="D77" t="s">
        <v>63</v>
      </c>
      <c r="E77" t="s">
        <v>65</v>
      </c>
      <c r="F77" t="s">
        <v>39</v>
      </c>
      <c r="G77" t="s">
        <v>40</v>
      </c>
      <c r="H77">
        <v>34</v>
      </c>
      <c r="I77" s="19">
        <v>76.5</v>
      </c>
      <c r="J77" t="s">
        <v>36</v>
      </c>
      <c r="K77">
        <f>_xlfn.XLOOKUP(tbl_Q1_Sales[[#This Row],[Order ID]], Discount_Order_tbl[Order ID], Discount_Order_tbl[Discount %], 0)</f>
        <v>5</v>
      </c>
      <c r="L77" s="19">
        <f>tbl_Q1_Sales[[#This Row],[Units]]*tbl_Q1_Sales[[#This Row],[Unit Price]]</f>
        <v>2601</v>
      </c>
      <c r="M77" s="19">
        <f>tbl_Q1_Sales[[#This Row],[Net Revenue]]*(1-tbl_Q1_Sales[[#This Row],[Discount %]]/100)</f>
        <v>2470.9499999999998</v>
      </c>
    </row>
    <row r="78" spans="1:13" x14ac:dyDescent="0.2">
      <c r="A78" t="s">
        <v>274</v>
      </c>
      <c r="B78" s="23">
        <v>46069</v>
      </c>
      <c r="C78" t="s">
        <v>60</v>
      </c>
      <c r="D78" t="s">
        <v>42</v>
      </c>
      <c r="E78" t="s">
        <v>38</v>
      </c>
      <c r="F78" t="s">
        <v>39</v>
      </c>
      <c r="G78" t="s">
        <v>40</v>
      </c>
      <c r="H78">
        <v>21</v>
      </c>
      <c r="I78" s="19">
        <v>76.5</v>
      </c>
      <c r="J78" t="s">
        <v>76</v>
      </c>
      <c r="K78">
        <f>_xlfn.XLOOKUP(tbl_Q1_Sales[[#This Row],[Order ID]], Discount_Order_tbl[Order ID], Discount_Order_tbl[Discount %], 0)</f>
        <v>0</v>
      </c>
      <c r="L78" s="19">
        <f>tbl_Q1_Sales[[#This Row],[Units]]*tbl_Q1_Sales[[#This Row],[Unit Price]]</f>
        <v>1606.5</v>
      </c>
      <c r="M78" s="19">
        <f>tbl_Q1_Sales[[#This Row],[Net Revenue]]*(1-tbl_Q1_Sales[[#This Row],[Discount %]]/100)</f>
        <v>1606.5</v>
      </c>
    </row>
    <row r="79" spans="1:13" x14ac:dyDescent="0.2">
      <c r="A79" t="s">
        <v>171</v>
      </c>
      <c r="B79" s="23">
        <v>46060</v>
      </c>
      <c r="C79" t="s">
        <v>50</v>
      </c>
      <c r="D79" t="s">
        <v>47</v>
      </c>
      <c r="E79" t="s">
        <v>65</v>
      </c>
      <c r="F79" t="s">
        <v>28</v>
      </c>
      <c r="G79" t="s">
        <v>29</v>
      </c>
      <c r="H79">
        <v>12</v>
      </c>
      <c r="I79" s="19">
        <v>94.75</v>
      </c>
      <c r="J79" t="s">
        <v>55</v>
      </c>
      <c r="K79">
        <f>_xlfn.XLOOKUP(tbl_Q1_Sales[[#This Row],[Order ID]], Discount_Order_tbl[Order ID], Discount_Order_tbl[Discount %], 0)</f>
        <v>17.5</v>
      </c>
      <c r="L79" s="19">
        <f>tbl_Q1_Sales[[#This Row],[Units]]*tbl_Q1_Sales[[#This Row],[Unit Price]]</f>
        <v>1137</v>
      </c>
      <c r="M79" s="19">
        <f>tbl_Q1_Sales[[#This Row],[Net Revenue]]*(1-tbl_Q1_Sales[[#This Row],[Discount %]]/100)</f>
        <v>938.02499999999998</v>
      </c>
    </row>
    <row r="80" spans="1:13" x14ac:dyDescent="0.2">
      <c r="A80" t="s">
        <v>178</v>
      </c>
      <c r="B80" s="23">
        <v>46066</v>
      </c>
      <c r="C80" t="s">
        <v>25</v>
      </c>
      <c r="D80" t="s">
        <v>47</v>
      </c>
      <c r="E80" t="s">
        <v>38</v>
      </c>
      <c r="F80" t="s">
        <v>54</v>
      </c>
      <c r="G80" t="s">
        <v>49</v>
      </c>
      <c r="H80">
        <v>1</v>
      </c>
      <c r="I80" s="19">
        <v>21.99</v>
      </c>
      <c r="J80" t="s">
        <v>36</v>
      </c>
      <c r="K80">
        <f>_xlfn.XLOOKUP(tbl_Q1_Sales[[#This Row],[Order ID]], Discount_Order_tbl[Order ID], Discount_Order_tbl[Discount %], 0)</f>
        <v>12.5</v>
      </c>
      <c r="L80" s="19">
        <f>tbl_Q1_Sales[[#This Row],[Units]]*tbl_Q1_Sales[[#This Row],[Unit Price]]</f>
        <v>21.99</v>
      </c>
      <c r="M80" s="19">
        <f>tbl_Q1_Sales[[#This Row],[Net Revenue]]*(1-tbl_Q1_Sales[[#This Row],[Discount %]]/100)</f>
        <v>19.241249999999997</v>
      </c>
    </row>
    <row r="81" spans="1:13" x14ac:dyDescent="0.2">
      <c r="A81" t="s">
        <v>165</v>
      </c>
      <c r="B81" s="23">
        <v>46085</v>
      </c>
      <c r="C81" t="s">
        <v>89</v>
      </c>
      <c r="D81" t="s">
        <v>51</v>
      </c>
      <c r="E81" t="s">
        <v>345</v>
      </c>
      <c r="F81" t="s">
        <v>54</v>
      </c>
      <c r="G81" t="s">
        <v>49</v>
      </c>
      <c r="H81">
        <v>2</v>
      </c>
      <c r="I81" s="19">
        <v>21.99</v>
      </c>
      <c r="J81" t="s">
        <v>55</v>
      </c>
      <c r="K81">
        <f>_xlfn.XLOOKUP(tbl_Q1_Sales[[#This Row],[Order ID]], Discount_Order_tbl[Order ID], Discount_Order_tbl[Discount %], 0)</f>
        <v>7.5</v>
      </c>
      <c r="L81" s="19">
        <f>tbl_Q1_Sales[[#This Row],[Units]]*tbl_Q1_Sales[[#This Row],[Unit Price]]</f>
        <v>43.98</v>
      </c>
      <c r="M81" s="19">
        <f>tbl_Q1_Sales[[#This Row],[Net Revenue]]*(1-tbl_Q1_Sales[[#This Row],[Discount %]]/100)</f>
        <v>40.6815</v>
      </c>
    </row>
    <row r="82" spans="1:13" x14ac:dyDescent="0.2">
      <c r="A82" t="s">
        <v>276</v>
      </c>
      <c r="B82" s="23">
        <v>46077</v>
      </c>
      <c r="C82" t="s">
        <v>70</v>
      </c>
      <c r="D82" t="s">
        <v>63</v>
      </c>
      <c r="E82" t="s">
        <v>34</v>
      </c>
      <c r="F82" t="s">
        <v>57</v>
      </c>
      <c r="G82" t="s">
        <v>40</v>
      </c>
      <c r="H82">
        <v>5</v>
      </c>
      <c r="I82" s="19">
        <v>340</v>
      </c>
      <c r="J82" t="s">
        <v>36</v>
      </c>
      <c r="K82">
        <f>_xlfn.XLOOKUP(tbl_Q1_Sales[[#This Row],[Order ID]], Discount_Order_tbl[Order ID], Discount_Order_tbl[Discount %], 0)</f>
        <v>0</v>
      </c>
      <c r="L82" s="19">
        <f>tbl_Q1_Sales[[#This Row],[Units]]*tbl_Q1_Sales[[#This Row],[Unit Price]]</f>
        <v>1700</v>
      </c>
      <c r="M82" s="19">
        <f>tbl_Q1_Sales[[#This Row],[Net Revenue]]*(1-tbl_Q1_Sales[[#This Row],[Discount %]]/100)</f>
        <v>1700</v>
      </c>
    </row>
    <row r="83" spans="1:13" x14ac:dyDescent="0.2">
      <c r="A83" t="s">
        <v>188</v>
      </c>
      <c r="B83" s="23">
        <v>46106</v>
      </c>
      <c r="C83" t="s">
        <v>41</v>
      </c>
      <c r="D83" t="s">
        <v>51</v>
      </c>
      <c r="E83" t="s">
        <v>43</v>
      </c>
      <c r="F83" t="s">
        <v>68</v>
      </c>
      <c r="G83" t="s">
        <v>69</v>
      </c>
      <c r="H83">
        <v>38</v>
      </c>
      <c r="I83" s="19">
        <v>18.399999999999999</v>
      </c>
      <c r="J83" t="s">
        <v>36</v>
      </c>
      <c r="K83">
        <f>_xlfn.XLOOKUP(tbl_Q1_Sales[[#This Row],[Order ID]], Discount_Order_tbl[Order ID], Discount_Order_tbl[Discount %], 0)</f>
        <v>5</v>
      </c>
      <c r="L83" s="19">
        <f>tbl_Q1_Sales[[#This Row],[Units]]*tbl_Q1_Sales[[#This Row],[Unit Price]]</f>
        <v>699.19999999999993</v>
      </c>
      <c r="M83" s="19">
        <f>tbl_Q1_Sales[[#This Row],[Net Revenue]]*(1-tbl_Q1_Sales[[#This Row],[Discount %]]/100)</f>
        <v>664.2399999999999</v>
      </c>
    </row>
    <row r="84" spans="1:13" x14ac:dyDescent="0.2">
      <c r="A84" t="s">
        <v>279</v>
      </c>
      <c r="B84" s="23">
        <v>46090</v>
      </c>
      <c r="C84" t="s">
        <v>41</v>
      </c>
      <c r="D84" t="s">
        <v>51</v>
      </c>
      <c r="E84" t="s">
        <v>38</v>
      </c>
      <c r="F84" t="s">
        <v>54</v>
      </c>
      <c r="G84" t="s">
        <v>49</v>
      </c>
      <c r="H84">
        <v>31</v>
      </c>
      <c r="I84" s="19">
        <v>21.99</v>
      </c>
      <c r="J84" t="s">
        <v>44</v>
      </c>
      <c r="K84">
        <f>_xlfn.XLOOKUP(tbl_Q1_Sales[[#This Row],[Order ID]], Discount_Order_tbl[Order ID], Discount_Order_tbl[Discount %], 0)</f>
        <v>0</v>
      </c>
      <c r="L84" s="19">
        <f>tbl_Q1_Sales[[#This Row],[Units]]*tbl_Q1_Sales[[#This Row],[Unit Price]]</f>
        <v>681.68999999999994</v>
      </c>
      <c r="M84" s="19">
        <f>tbl_Q1_Sales[[#This Row],[Net Revenue]]*(1-tbl_Q1_Sales[[#This Row],[Discount %]]/100)</f>
        <v>681.68999999999994</v>
      </c>
    </row>
    <row r="85" spans="1:13" x14ac:dyDescent="0.2">
      <c r="A85" t="s">
        <v>280</v>
      </c>
      <c r="B85" s="23">
        <v>46027</v>
      </c>
      <c r="C85" t="s">
        <v>41</v>
      </c>
      <c r="D85" t="s">
        <v>63</v>
      </c>
      <c r="E85" t="s">
        <v>27</v>
      </c>
      <c r="F85" t="s">
        <v>28</v>
      </c>
      <c r="G85" t="s">
        <v>29</v>
      </c>
      <c r="H85">
        <v>29</v>
      </c>
      <c r="I85" s="19">
        <v>94.75</v>
      </c>
      <c r="J85" t="s">
        <v>31</v>
      </c>
      <c r="K85">
        <f>_xlfn.XLOOKUP(tbl_Q1_Sales[[#This Row],[Order ID]], Discount_Order_tbl[Order ID], Discount_Order_tbl[Discount %], 0)</f>
        <v>0</v>
      </c>
      <c r="L85" s="19">
        <f>tbl_Q1_Sales[[#This Row],[Units]]*tbl_Q1_Sales[[#This Row],[Unit Price]]</f>
        <v>2747.75</v>
      </c>
      <c r="M85" s="19">
        <f>tbl_Q1_Sales[[#This Row],[Net Revenue]]*(1-tbl_Q1_Sales[[#This Row],[Discount %]]/100)</f>
        <v>2747.75</v>
      </c>
    </row>
    <row r="86" spans="1:13" x14ac:dyDescent="0.2">
      <c r="A86" t="s">
        <v>281</v>
      </c>
      <c r="B86" s="23">
        <v>46069</v>
      </c>
      <c r="C86" t="s">
        <v>59</v>
      </c>
      <c r="D86" t="s">
        <v>51</v>
      </c>
      <c r="E86" t="s">
        <v>43</v>
      </c>
      <c r="F86" t="s">
        <v>98</v>
      </c>
      <c r="G86" t="s">
        <v>69</v>
      </c>
      <c r="H86">
        <v>22</v>
      </c>
      <c r="I86" s="19">
        <v>12.25</v>
      </c>
      <c r="J86" t="s">
        <v>36</v>
      </c>
      <c r="K86">
        <f>_xlfn.XLOOKUP(tbl_Q1_Sales[[#This Row],[Order ID]], Discount_Order_tbl[Order ID], Discount_Order_tbl[Discount %], 0)</f>
        <v>0</v>
      </c>
      <c r="L86" s="19">
        <f>tbl_Q1_Sales[[#This Row],[Units]]*tbl_Q1_Sales[[#This Row],[Unit Price]]</f>
        <v>269.5</v>
      </c>
      <c r="M86" s="19">
        <f>tbl_Q1_Sales[[#This Row],[Net Revenue]]*(1-tbl_Q1_Sales[[#This Row],[Discount %]]/100)</f>
        <v>269.5</v>
      </c>
    </row>
    <row r="87" spans="1:13" x14ac:dyDescent="0.2">
      <c r="A87" t="s">
        <v>284</v>
      </c>
      <c r="B87" s="23">
        <v>46107</v>
      </c>
      <c r="C87" t="s">
        <v>83</v>
      </c>
      <c r="D87" t="s">
        <v>63</v>
      </c>
      <c r="E87" t="s">
        <v>43</v>
      </c>
      <c r="F87" t="s">
        <v>57</v>
      </c>
      <c r="G87" t="s">
        <v>40</v>
      </c>
      <c r="H87">
        <v>31</v>
      </c>
      <c r="I87" s="19">
        <v>340</v>
      </c>
      <c r="J87" t="s">
        <v>55</v>
      </c>
      <c r="K87">
        <f>_xlfn.XLOOKUP(tbl_Q1_Sales[[#This Row],[Order ID]], Discount_Order_tbl[Order ID], Discount_Order_tbl[Discount %], 0)</f>
        <v>0</v>
      </c>
      <c r="L87" s="19">
        <f>tbl_Q1_Sales[[#This Row],[Units]]*tbl_Q1_Sales[[#This Row],[Unit Price]]</f>
        <v>10540</v>
      </c>
      <c r="M87" s="19">
        <f>tbl_Q1_Sales[[#This Row],[Net Revenue]]*(1-tbl_Q1_Sales[[#This Row],[Discount %]]/100)</f>
        <v>10540</v>
      </c>
    </row>
    <row r="88" spans="1:13" x14ac:dyDescent="0.2">
      <c r="A88" t="s">
        <v>172</v>
      </c>
      <c r="B88" s="23">
        <v>46090</v>
      </c>
      <c r="C88" t="s">
        <v>129</v>
      </c>
      <c r="D88" t="s">
        <v>63</v>
      </c>
      <c r="E88" t="s">
        <v>27</v>
      </c>
      <c r="F88" t="s">
        <v>86</v>
      </c>
      <c r="G88" t="s">
        <v>87</v>
      </c>
      <c r="H88">
        <v>32</v>
      </c>
      <c r="I88" s="19">
        <v>24.5</v>
      </c>
      <c r="J88" t="s">
        <v>36</v>
      </c>
      <c r="K88">
        <f>_xlfn.XLOOKUP(tbl_Q1_Sales[[#This Row],[Order ID]], Discount_Order_tbl[Order ID], Discount_Order_tbl[Discount %], 0)</f>
        <v>7.5</v>
      </c>
      <c r="L88" s="19">
        <f>tbl_Q1_Sales[[#This Row],[Units]]*tbl_Q1_Sales[[#This Row],[Unit Price]]</f>
        <v>784</v>
      </c>
      <c r="M88" s="19">
        <f>tbl_Q1_Sales[[#This Row],[Net Revenue]]*(1-tbl_Q1_Sales[[#This Row],[Discount %]]/100)</f>
        <v>725.2</v>
      </c>
    </row>
    <row r="89" spans="1:13" x14ac:dyDescent="0.2">
      <c r="A89" t="s">
        <v>285</v>
      </c>
      <c r="B89" s="23">
        <v>46050</v>
      </c>
      <c r="C89" t="s">
        <v>32</v>
      </c>
      <c r="D89" t="s">
        <v>51</v>
      </c>
      <c r="E89" t="s">
        <v>27</v>
      </c>
      <c r="F89" t="s">
        <v>28</v>
      </c>
      <c r="G89" t="s">
        <v>29</v>
      </c>
      <c r="H89">
        <v>1</v>
      </c>
      <c r="I89" s="19">
        <v>94.75</v>
      </c>
      <c r="J89" t="s">
        <v>76</v>
      </c>
      <c r="K89">
        <f>_xlfn.XLOOKUP(tbl_Q1_Sales[[#This Row],[Order ID]], Discount_Order_tbl[Order ID], Discount_Order_tbl[Discount %], 0)</f>
        <v>0</v>
      </c>
      <c r="L89" s="19">
        <f>tbl_Q1_Sales[[#This Row],[Units]]*tbl_Q1_Sales[[#This Row],[Unit Price]]</f>
        <v>94.75</v>
      </c>
      <c r="M89" s="19">
        <f>tbl_Q1_Sales[[#This Row],[Net Revenue]]*(1-tbl_Q1_Sales[[#This Row],[Discount %]]/100)</f>
        <v>94.75</v>
      </c>
    </row>
    <row r="90" spans="1:13" x14ac:dyDescent="0.2">
      <c r="A90" t="s">
        <v>286</v>
      </c>
      <c r="B90" s="23">
        <v>46031</v>
      </c>
      <c r="C90" t="s">
        <v>70</v>
      </c>
      <c r="D90" t="s">
        <v>47</v>
      </c>
      <c r="E90" t="s">
        <v>38</v>
      </c>
      <c r="F90" t="s">
        <v>39</v>
      </c>
      <c r="G90" t="s">
        <v>40</v>
      </c>
      <c r="H90">
        <v>31</v>
      </c>
      <c r="I90" s="19">
        <v>76.5</v>
      </c>
      <c r="J90" t="s">
        <v>36</v>
      </c>
      <c r="K90">
        <f>_xlfn.XLOOKUP(tbl_Q1_Sales[[#This Row],[Order ID]], Discount_Order_tbl[Order ID], Discount_Order_tbl[Discount %], 0)</f>
        <v>0</v>
      </c>
      <c r="L90" s="19">
        <f>tbl_Q1_Sales[[#This Row],[Units]]*tbl_Q1_Sales[[#This Row],[Unit Price]]</f>
        <v>2371.5</v>
      </c>
      <c r="M90" s="19">
        <f>tbl_Q1_Sales[[#This Row],[Net Revenue]]*(1-tbl_Q1_Sales[[#This Row],[Discount %]]/100)</f>
        <v>2371.5</v>
      </c>
    </row>
    <row r="91" spans="1:13" x14ac:dyDescent="0.2">
      <c r="A91" t="s">
        <v>287</v>
      </c>
      <c r="B91" s="23">
        <v>46069</v>
      </c>
      <c r="C91" t="s">
        <v>46</v>
      </c>
      <c r="D91" t="s">
        <v>42</v>
      </c>
      <c r="E91" t="s">
        <v>65</v>
      </c>
      <c r="F91" t="s">
        <v>28</v>
      </c>
      <c r="G91" t="s">
        <v>29</v>
      </c>
      <c r="H91">
        <v>20</v>
      </c>
      <c r="I91" s="19">
        <v>94.75</v>
      </c>
      <c r="J91" t="s">
        <v>76</v>
      </c>
      <c r="K91">
        <f>_xlfn.XLOOKUP(tbl_Q1_Sales[[#This Row],[Order ID]], Discount_Order_tbl[Order ID], Discount_Order_tbl[Discount %], 0)</f>
        <v>0</v>
      </c>
      <c r="L91" s="19">
        <f>tbl_Q1_Sales[[#This Row],[Units]]*tbl_Q1_Sales[[#This Row],[Unit Price]]</f>
        <v>1895</v>
      </c>
      <c r="M91" s="19">
        <f>tbl_Q1_Sales[[#This Row],[Net Revenue]]*(1-tbl_Q1_Sales[[#This Row],[Discount %]]/100)</f>
        <v>1895</v>
      </c>
    </row>
    <row r="92" spans="1:13" x14ac:dyDescent="0.2">
      <c r="A92" t="s">
        <v>163</v>
      </c>
      <c r="B92" s="23">
        <v>46098</v>
      </c>
      <c r="C92" t="s">
        <v>83</v>
      </c>
      <c r="D92" t="s">
        <v>47</v>
      </c>
      <c r="E92" t="s">
        <v>38</v>
      </c>
      <c r="F92" t="s">
        <v>68</v>
      </c>
      <c r="G92" t="s">
        <v>69</v>
      </c>
      <c r="H92">
        <v>9</v>
      </c>
      <c r="I92" s="19">
        <v>18.399999999999999</v>
      </c>
      <c r="J92" t="s">
        <v>44</v>
      </c>
      <c r="K92">
        <f>_xlfn.XLOOKUP(tbl_Q1_Sales[[#This Row],[Order ID]], Discount_Order_tbl[Order ID], Discount_Order_tbl[Discount %], 0)</f>
        <v>12.5</v>
      </c>
      <c r="L92" s="19">
        <f>tbl_Q1_Sales[[#This Row],[Units]]*tbl_Q1_Sales[[#This Row],[Unit Price]]</f>
        <v>165.6</v>
      </c>
      <c r="M92" s="19">
        <f>tbl_Q1_Sales[[#This Row],[Net Revenue]]*(1-tbl_Q1_Sales[[#This Row],[Discount %]]/100)</f>
        <v>144.9</v>
      </c>
    </row>
    <row r="93" spans="1:13" x14ac:dyDescent="0.2">
      <c r="A93" t="s">
        <v>288</v>
      </c>
      <c r="B93" s="23">
        <v>46058</v>
      </c>
      <c r="C93" t="s">
        <v>41</v>
      </c>
      <c r="D93" t="s">
        <v>63</v>
      </c>
      <c r="E93" t="s">
        <v>345</v>
      </c>
      <c r="F93" t="s">
        <v>68</v>
      </c>
      <c r="G93" t="s">
        <v>69</v>
      </c>
      <c r="H93">
        <v>39</v>
      </c>
      <c r="I93" s="19">
        <v>18.399999999999999</v>
      </c>
      <c r="J93" t="s">
        <v>55</v>
      </c>
      <c r="K93">
        <f>_xlfn.XLOOKUP(tbl_Q1_Sales[[#This Row],[Order ID]], Discount_Order_tbl[Order ID], Discount_Order_tbl[Discount %], 0)</f>
        <v>0</v>
      </c>
      <c r="L93" s="19">
        <f>tbl_Q1_Sales[[#This Row],[Units]]*tbl_Q1_Sales[[#This Row],[Unit Price]]</f>
        <v>717.59999999999991</v>
      </c>
      <c r="M93" s="19">
        <f>tbl_Q1_Sales[[#This Row],[Net Revenue]]*(1-tbl_Q1_Sales[[#This Row],[Discount %]]/100)</f>
        <v>717.59999999999991</v>
      </c>
    </row>
    <row r="94" spans="1:13" x14ac:dyDescent="0.2">
      <c r="A94" t="s">
        <v>289</v>
      </c>
      <c r="B94" s="23">
        <v>46072</v>
      </c>
      <c r="C94" t="s">
        <v>32</v>
      </c>
      <c r="D94" t="s">
        <v>63</v>
      </c>
      <c r="E94" t="s">
        <v>38</v>
      </c>
      <c r="F94" t="s">
        <v>57</v>
      </c>
      <c r="G94" t="s">
        <v>40</v>
      </c>
      <c r="H94">
        <v>15</v>
      </c>
      <c r="I94" s="19">
        <v>340</v>
      </c>
      <c r="J94" t="s">
        <v>44</v>
      </c>
      <c r="K94">
        <f>_xlfn.XLOOKUP(tbl_Q1_Sales[[#This Row],[Order ID]], Discount_Order_tbl[Order ID], Discount_Order_tbl[Discount %], 0)</f>
        <v>0</v>
      </c>
      <c r="L94" s="19">
        <f>tbl_Q1_Sales[[#This Row],[Units]]*tbl_Q1_Sales[[#This Row],[Unit Price]]</f>
        <v>5100</v>
      </c>
      <c r="M94" s="19">
        <f>tbl_Q1_Sales[[#This Row],[Net Revenue]]*(1-tbl_Q1_Sales[[#This Row],[Discount %]]/100)</f>
        <v>5100</v>
      </c>
    </row>
    <row r="95" spans="1:13" x14ac:dyDescent="0.2">
      <c r="A95" t="s">
        <v>290</v>
      </c>
      <c r="B95" s="23">
        <v>46051</v>
      </c>
      <c r="C95" t="s">
        <v>60</v>
      </c>
      <c r="D95" t="s">
        <v>51</v>
      </c>
      <c r="E95" t="s">
        <v>43</v>
      </c>
      <c r="F95" t="s">
        <v>57</v>
      </c>
      <c r="G95" t="s">
        <v>40</v>
      </c>
      <c r="H95">
        <v>28</v>
      </c>
      <c r="I95" s="19">
        <v>340</v>
      </c>
      <c r="J95" t="s">
        <v>31</v>
      </c>
      <c r="K95">
        <f>_xlfn.XLOOKUP(tbl_Q1_Sales[[#This Row],[Order ID]], Discount_Order_tbl[Order ID], Discount_Order_tbl[Discount %], 0)</f>
        <v>0</v>
      </c>
      <c r="L95" s="19">
        <f>tbl_Q1_Sales[[#This Row],[Units]]*tbl_Q1_Sales[[#This Row],[Unit Price]]</f>
        <v>9520</v>
      </c>
      <c r="M95" s="19">
        <f>tbl_Q1_Sales[[#This Row],[Net Revenue]]*(1-tbl_Q1_Sales[[#This Row],[Discount %]]/100)</f>
        <v>9520</v>
      </c>
    </row>
    <row r="96" spans="1:13" x14ac:dyDescent="0.2">
      <c r="A96" t="s">
        <v>291</v>
      </c>
      <c r="B96" s="23">
        <v>46050</v>
      </c>
      <c r="C96" t="s">
        <v>137</v>
      </c>
      <c r="D96" t="s">
        <v>47</v>
      </c>
      <c r="E96" t="s">
        <v>34</v>
      </c>
      <c r="F96" t="s">
        <v>98</v>
      </c>
      <c r="G96" t="s">
        <v>69</v>
      </c>
      <c r="H96">
        <v>34</v>
      </c>
      <c r="I96" s="19">
        <v>12.25</v>
      </c>
      <c r="J96" t="s">
        <v>76</v>
      </c>
      <c r="K96">
        <f>_xlfn.XLOOKUP(tbl_Q1_Sales[[#This Row],[Order ID]], Discount_Order_tbl[Order ID], Discount_Order_tbl[Discount %], 0)</f>
        <v>0</v>
      </c>
      <c r="L96" s="19">
        <f>tbl_Q1_Sales[[#This Row],[Units]]*tbl_Q1_Sales[[#This Row],[Unit Price]]</f>
        <v>416.5</v>
      </c>
      <c r="M96" s="19">
        <f>tbl_Q1_Sales[[#This Row],[Net Revenue]]*(1-tbl_Q1_Sales[[#This Row],[Discount %]]/100)</f>
        <v>416.5</v>
      </c>
    </row>
    <row r="97" spans="1:13" x14ac:dyDescent="0.2">
      <c r="A97" t="s">
        <v>292</v>
      </c>
      <c r="B97" s="23">
        <v>46049</v>
      </c>
      <c r="C97" t="s">
        <v>46</v>
      </c>
      <c r="D97" t="s">
        <v>51</v>
      </c>
      <c r="E97" t="s">
        <v>27</v>
      </c>
      <c r="F97" t="s">
        <v>98</v>
      </c>
      <c r="G97" t="s">
        <v>69</v>
      </c>
      <c r="H97">
        <v>7</v>
      </c>
      <c r="I97" s="19">
        <v>12.25</v>
      </c>
      <c r="J97" t="s">
        <v>31</v>
      </c>
      <c r="K97">
        <f>_xlfn.XLOOKUP(tbl_Q1_Sales[[#This Row],[Order ID]], Discount_Order_tbl[Order ID], Discount_Order_tbl[Discount %], 0)</f>
        <v>0</v>
      </c>
      <c r="L97" s="19">
        <f>tbl_Q1_Sales[[#This Row],[Units]]*tbl_Q1_Sales[[#This Row],[Unit Price]]</f>
        <v>85.75</v>
      </c>
      <c r="M97" s="19">
        <f>tbl_Q1_Sales[[#This Row],[Net Revenue]]*(1-tbl_Q1_Sales[[#This Row],[Discount %]]/100)</f>
        <v>85.75</v>
      </c>
    </row>
    <row r="98" spans="1:13" x14ac:dyDescent="0.2">
      <c r="A98" t="s">
        <v>294</v>
      </c>
      <c r="B98" s="23">
        <v>46109</v>
      </c>
      <c r="C98" t="s">
        <v>32</v>
      </c>
      <c r="D98" t="s">
        <v>42</v>
      </c>
      <c r="E98" t="s">
        <v>38</v>
      </c>
      <c r="F98" t="s">
        <v>57</v>
      </c>
      <c r="G98" t="s">
        <v>40</v>
      </c>
      <c r="H98">
        <v>11</v>
      </c>
      <c r="I98" s="19">
        <v>340</v>
      </c>
      <c r="J98" t="s">
        <v>44</v>
      </c>
      <c r="K98">
        <f>_xlfn.XLOOKUP(tbl_Q1_Sales[[#This Row],[Order ID]], Discount_Order_tbl[Order ID], Discount_Order_tbl[Discount %], 0)</f>
        <v>0</v>
      </c>
      <c r="L98" s="19">
        <f>tbl_Q1_Sales[[#This Row],[Units]]*tbl_Q1_Sales[[#This Row],[Unit Price]]</f>
        <v>3740</v>
      </c>
      <c r="M98" s="19">
        <f>tbl_Q1_Sales[[#This Row],[Net Revenue]]*(1-tbl_Q1_Sales[[#This Row],[Discount %]]/100)</f>
        <v>3740</v>
      </c>
    </row>
    <row r="99" spans="1:13" x14ac:dyDescent="0.2">
      <c r="A99" t="s">
        <v>295</v>
      </c>
      <c r="B99" s="23">
        <v>46074</v>
      </c>
      <c r="C99" t="s">
        <v>83</v>
      </c>
      <c r="D99" t="s">
        <v>42</v>
      </c>
      <c r="E99" t="s">
        <v>38</v>
      </c>
      <c r="F99" t="s">
        <v>68</v>
      </c>
      <c r="G99" t="s">
        <v>69</v>
      </c>
      <c r="H99">
        <v>38</v>
      </c>
      <c r="I99" s="19">
        <v>18.399999999999999</v>
      </c>
      <c r="J99" t="s">
        <v>44</v>
      </c>
      <c r="K99">
        <f>_xlfn.XLOOKUP(tbl_Q1_Sales[[#This Row],[Order ID]], Discount_Order_tbl[Order ID], Discount_Order_tbl[Discount %], 0)</f>
        <v>0</v>
      </c>
      <c r="L99" s="19">
        <f>tbl_Q1_Sales[[#This Row],[Units]]*tbl_Q1_Sales[[#This Row],[Unit Price]]</f>
        <v>699.19999999999993</v>
      </c>
      <c r="M99" s="19">
        <f>tbl_Q1_Sales[[#This Row],[Net Revenue]]*(1-tbl_Q1_Sales[[#This Row],[Discount %]]/100)</f>
        <v>699.19999999999993</v>
      </c>
    </row>
    <row r="100" spans="1:13" x14ac:dyDescent="0.2">
      <c r="A100" t="s">
        <v>296</v>
      </c>
      <c r="B100" s="23">
        <v>46040</v>
      </c>
      <c r="C100" t="s">
        <v>59</v>
      </c>
      <c r="D100" t="s">
        <v>42</v>
      </c>
      <c r="E100" t="s">
        <v>34</v>
      </c>
      <c r="F100" t="s">
        <v>96</v>
      </c>
      <c r="G100" t="s">
        <v>40</v>
      </c>
      <c r="H100">
        <v>35</v>
      </c>
      <c r="I100" s="19">
        <v>189</v>
      </c>
      <c r="J100" t="s">
        <v>76</v>
      </c>
      <c r="K100">
        <f>_xlfn.XLOOKUP(tbl_Q1_Sales[[#This Row],[Order ID]], Discount_Order_tbl[Order ID], Discount_Order_tbl[Discount %], 0)</f>
        <v>0</v>
      </c>
      <c r="L100" s="19">
        <f>tbl_Q1_Sales[[#This Row],[Units]]*tbl_Q1_Sales[[#This Row],[Unit Price]]</f>
        <v>6615</v>
      </c>
      <c r="M100" s="19">
        <f>tbl_Q1_Sales[[#This Row],[Net Revenue]]*(1-tbl_Q1_Sales[[#This Row],[Discount %]]/100)</f>
        <v>6615</v>
      </c>
    </row>
    <row r="101" spans="1:13" x14ac:dyDescent="0.2">
      <c r="A101" t="s">
        <v>298</v>
      </c>
      <c r="B101" s="23">
        <v>46062</v>
      </c>
      <c r="C101" t="s">
        <v>78</v>
      </c>
      <c r="D101" t="s">
        <v>63</v>
      </c>
      <c r="E101" t="s">
        <v>27</v>
      </c>
      <c r="F101" t="s">
        <v>96</v>
      </c>
      <c r="G101" t="s">
        <v>40</v>
      </c>
      <c r="H101">
        <v>17</v>
      </c>
      <c r="I101" s="19">
        <v>189</v>
      </c>
      <c r="J101" t="s">
        <v>76</v>
      </c>
      <c r="K101">
        <f>_xlfn.XLOOKUP(tbl_Q1_Sales[[#This Row],[Order ID]], Discount_Order_tbl[Order ID], Discount_Order_tbl[Discount %], 0)</f>
        <v>0</v>
      </c>
      <c r="L101" s="19">
        <f>tbl_Q1_Sales[[#This Row],[Units]]*tbl_Q1_Sales[[#This Row],[Unit Price]]</f>
        <v>3213</v>
      </c>
      <c r="M101" s="19">
        <f>tbl_Q1_Sales[[#This Row],[Net Revenue]]*(1-tbl_Q1_Sales[[#This Row],[Discount %]]/100)</f>
        <v>3213</v>
      </c>
    </row>
    <row r="102" spans="1:13" x14ac:dyDescent="0.2">
      <c r="A102" t="s">
        <v>184</v>
      </c>
      <c r="B102" s="23">
        <v>46097</v>
      </c>
      <c r="C102" t="s">
        <v>56</v>
      </c>
      <c r="D102" t="s">
        <v>47</v>
      </c>
      <c r="E102" t="s">
        <v>27</v>
      </c>
      <c r="F102" t="s">
        <v>86</v>
      </c>
      <c r="G102" t="s">
        <v>87</v>
      </c>
      <c r="H102">
        <v>18</v>
      </c>
      <c r="I102" s="19">
        <v>24.5</v>
      </c>
      <c r="J102" t="s">
        <v>44</v>
      </c>
      <c r="K102">
        <f>_xlfn.XLOOKUP(tbl_Q1_Sales[[#This Row],[Order ID]], Discount_Order_tbl[Order ID], Discount_Order_tbl[Discount %], 0)</f>
        <v>15</v>
      </c>
      <c r="L102" s="19">
        <f>tbl_Q1_Sales[[#This Row],[Units]]*tbl_Q1_Sales[[#This Row],[Unit Price]]</f>
        <v>441</v>
      </c>
      <c r="M102" s="19">
        <f>tbl_Q1_Sales[[#This Row],[Net Revenue]]*(1-tbl_Q1_Sales[[#This Row],[Discount %]]/100)</f>
        <v>374.84999999999997</v>
      </c>
    </row>
    <row r="103" spans="1:13" x14ac:dyDescent="0.2">
      <c r="A103" t="s">
        <v>300</v>
      </c>
      <c r="B103" s="23">
        <v>46043</v>
      </c>
      <c r="C103" t="s">
        <v>83</v>
      </c>
      <c r="D103" t="s">
        <v>63</v>
      </c>
      <c r="E103" t="s">
        <v>27</v>
      </c>
      <c r="F103" t="s">
        <v>35</v>
      </c>
      <c r="G103" t="s">
        <v>29</v>
      </c>
      <c r="H103">
        <v>3</v>
      </c>
      <c r="I103" s="19">
        <v>68</v>
      </c>
      <c r="J103" t="s">
        <v>36</v>
      </c>
      <c r="K103">
        <f>_xlfn.XLOOKUP(tbl_Q1_Sales[[#This Row],[Order ID]], Discount_Order_tbl[Order ID], Discount_Order_tbl[Discount %], 0)</f>
        <v>0</v>
      </c>
      <c r="L103" s="19">
        <f>tbl_Q1_Sales[[#This Row],[Units]]*tbl_Q1_Sales[[#This Row],[Unit Price]]</f>
        <v>204</v>
      </c>
      <c r="M103" s="19">
        <f>tbl_Q1_Sales[[#This Row],[Net Revenue]]*(1-tbl_Q1_Sales[[#This Row],[Discount %]]/100)</f>
        <v>204</v>
      </c>
    </row>
    <row r="104" spans="1:13" x14ac:dyDescent="0.2">
      <c r="A104" t="s">
        <v>303</v>
      </c>
      <c r="B104" s="23">
        <v>46074</v>
      </c>
      <c r="C104" t="s">
        <v>129</v>
      </c>
      <c r="D104" t="s">
        <v>63</v>
      </c>
      <c r="E104" t="s">
        <v>65</v>
      </c>
      <c r="F104" t="s">
        <v>39</v>
      </c>
      <c r="G104" t="s">
        <v>40</v>
      </c>
      <c r="H104">
        <v>25</v>
      </c>
      <c r="I104" s="19">
        <v>76.5</v>
      </c>
      <c r="J104" t="s">
        <v>36</v>
      </c>
      <c r="K104">
        <f>_xlfn.XLOOKUP(tbl_Q1_Sales[[#This Row],[Order ID]], Discount_Order_tbl[Order ID], Discount_Order_tbl[Discount %], 0)</f>
        <v>0</v>
      </c>
      <c r="L104" s="19">
        <f>tbl_Q1_Sales[[#This Row],[Units]]*tbl_Q1_Sales[[#This Row],[Unit Price]]</f>
        <v>1912.5</v>
      </c>
      <c r="M104" s="19">
        <f>tbl_Q1_Sales[[#This Row],[Net Revenue]]*(1-tbl_Q1_Sales[[#This Row],[Discount %]]/100)</f>
        <v>1912.5</v>
      </c>
    </row>
    <row r="105" spans="1:13" x14ac:dyDescent="0.2">
      <c r="A105" t="s">
        <v>304</v>
      </c>
      <c r="B105" s="23">
        <v>46111</v>
      </c>
      <c r="C105" t="s">
        <v>112</v>
      </c>
      <c r="D105" t="s">
        <v>63</v>
      </c>
      <c r="E105" t="s">
        <v>34</v>
      </c>
      <c r="F105" t="s">
        <v>48</v>
      </c>
      <c r="G105" t="s">
        <v>49</v>
      </c>
      <c r="H105">
        <v>32</v>
      </c>
      <c r="I105" s="19">
        <v>44</v>
      </c>
      <c r="J105" t="s">
        <v>44</v>
      </c>
      <c r="K105">
        <f>_xlfn.XLOOKUP(tbl_Q1_Sales[[#This Row],[Order ID]], Discount_Order_tbl[Order ID], Discount_Order_tbl[Discount %], 0)</f>
        <v>0</v>
      </c>
      <c r="L105" s="19">
        <f>tbl_Q1_Sales[[#This Row],[Units]]*tbl_Q1_Sales[[#This Row],[Unit Price]]</f>
        <v>1408</v>
      </c>
      <c r="M105" s="19">
        <f>tbl_Q1_Sales[[#This Row],[Net Revenue]]*(1-tbl_Q1_Sales[[#This Row],[Discount %]]/100)</f>
        <v>1408</v>
      </c>
    </row>
    <row r="106" spans="1:13" x14ac:dyDescent="0.2">
      <c r="A106" t="s">
        <v>305</v>
      </c>
      <c r="B106" s="23">
        <v>46038</v>
      </c>
      <c r="C106" t="s">
        <v>110</v>
      </c>
      <c r="D106" t="s">
        <v>42</v>
      </c>
      <c r="E106" t="s">
        <v>38</v>
      </c>
      <c r="F106" t="s">
        <v>54</v>
      </c>
      <c r="G106" t="s">
        <v>49</v>
      </c>
      <c r="H106">
        <v>37</v>
      </c>
      <c r="I106" s="19">
        <v>21.99</v>
      </c>
      <c r="J106" t="s">
        <v>55</v>
      </c>
      <c r="K106">
        <f>_xlfn.XLOOKUP(tbl_Q1_Sales[[#This Row],[Order ID]], Discount_Order_tbl[Order ID], Discount_Order_tbl[Discount %], 0)</f>
        <v>0</v>
      </c>
      <c r="L106" s="19">
        <f>tbl_Q1_Sales[[#This Row],[Units]]*tbl_Q1_Sales[[#This Row],[Unit Price]]</f>
        <v>813.63</v>
      </c>
      <c r="M106" s="19">
        <f>tbl_Q1_Sales[[#This Row],[Net Revenue]]*(1-tbl_Q1_Sales[[#This Row],[Discount %]]/100)</f>
        <v>813.63</v>
      </c>
    </row>
    <row r="107" spans="1:13" x14ac:dyDescent="0.2">
      <c r="A107" t="s">
        <v>306</v>
      </c>
      <c r="B107" s="23">
        <v>46063</v>
      </c>
      <c r="C107" t="s">
        <v>46</v>
      </c>
      <c r="D107" t="s">
        <v>51</v>
      </c>
      <c r="E107" t="s">
        <v>43</v>
      </c>
      <c r="F107" t="s">
        <v>68</v>
      </c>
      <c r="G107" t="s">
        <v>69</v>
      </c>
      <c r="H107">
        <v>36</v>
      </c>
      <c r="I107" s="19">
        <v>18.399999999999999</v>
      </c>
      <c r="J107" t="s">
        <v>44</v>
      </c>
      <c r="K107">
        <f>_xlfn.XLOOKUP(tbl_Q1_Sales[[#This Row],[Order ID]], Discount_Order_tbl[Order ID], Discount_Order_tbl[Discount %], 0)</f>
        <v>0</v>
      </c>
      <c r="L107" s="19">
        <f>tbl_Q1_Sales[[#This Row],[Units]]*tbl_Q1_Sales[[#This Row],[Unit Price]]</f>
        <v>662.4</v>
      </c>
      <c r="M107" s="19">
        <f>tbl_Q1_Sales[[#This Row],[Net Revenue]]*(1-tbl_Q1_Sales[[#This Row],[Discount %]]/100)</f>
        <v>662.4</v>
      </c>
    </row>
    <row r="108" spans="1:13" x14ac:dyDescent="0.2">
      <c r="A108" t="s">
        <v>307</v>
      </c>
      <c r="B108" s="23">
        <v>46107</v>
      </c>
      <c r="C108" t="s">
        <v>46</v>
      </c>
      <c r="D108" t="s">
        <v>51</v>
      </c>
      <c r="E108" t="s">
        <v>43</v>
      </c>
      <c r="F108" t="s">
        <v>98</v>
      </c>
      <c r="G108" t="s">
        <v>69</v>
      </c>
      <c r="H108">
        <v>25</v>
      </c>
      <c r="I108" s="19">
        <v>12.25</v>
      </c>
      <c r="J108" t="s">
        <v>44</v>
      </c>
      <c r="K108">
        <f>_xlfn.XLOOKUP(tbl_Q1_Sales[[#This Row],[Order ID]], Discount_Order_tbl[Order ID], Discount_Order_tbl[Discount %], 0)</f>
        <v>0</v>
      </c>
      <c r="L108" s="19">
        <f>tbl_Q1_Sales[[#This Row],[Units]]*tbl_Q1_Sales[[#This Row],[Unit Price]]</f>
        <v>306.25</v>
      </c>
      <c r="M108" s="19">
        <f>tbl_Q1_Sales[[#This Row],[Net Revenue]]*(1-tbl_Q1_Sales[[#This Row],[Discount %]]/100)</f>
        <v>306.25</v>
      </c>
    </row>
    <row r="109" spans="1:13" x14ac:dyDescent="0.2">
      <c r="A109" t="s">
        <v>309</v>
      </c>
      <c r="B109" s="23">
        <v>46072</v>
      </c>
      <c r="C109" t="s">
        <v>53</v>
      </c>
      <c r="D109" t="s">
        <v>42</v>
      </c>
      <c r="E109" t="s">
        <v>65</v>
      </c>
      <c r="F109" t="s">
        <v>28</v>
      </c>
      <c r="G109" t="s">
        <v>29</v>
      </c>
      <c r="H109">
        <v>1</v>
      </c>
      <c r="I109" s="19">
        <v>94.75</v>
      </c>
      <c r="J109" t="s">
        <v>44</v>
      </c>
      <c r="K109">
        <f>_xlfn.XLOOKUP(tbl_Q1_Sales[[#This Row],[Order ID]], Discount_Order_tbl[Order ID], Discount_Order_tbl[Discount %], 0)</f>
        <v>0</v>
      </c>
      <c r="L109" s="19">
        <f>tbl_Q1_Sales[[#This Row],[Units]]*tbl_Q1_Sales[[#This Row],[Unit Price]]</f>
        <v>94.75</v>
      </c>
      <c r="M109" s="19">
        <f>tbl_Q1_Sales[[#This Row],[Net Revenue]]*(1-tbl_Q1_Sales[[#This Row],[Discount %]]/100)</f>
        <v>94.75</v>
      </c>
    </row>
    <row r="110" spans="1:13" x14ac:dyDescent="0.2">
      <c r="A110" t="s">
        <v>310</v>
      </c>
      <c r="B110" s="23">
        <v>46037</v>
      </c>
      <c r="C110" t="s">
        <v>92</v>
      </c>
      <c r="D110" t="s">
        <v>51</v>
      </c>
      <c r="E110" t="s">
        <v>27</v>
      </c>
      <c r="F110" t="s">
        <v>39</v>
      </c>
      <c r="G110" t="s">
        <v>40</v>
      </c>
      <c r="H110">
        <v>34</v>
      </c>
      <c r="I110" s="19">
        <v>76.5</v>
      </c>
      <c r="J110" t="s">
        <v>44</v>
      </c>
      <c r="K110">
        <f>_xlfn.XLOOKUP(tbl_Q1_Sales[[#This Row],[Order ID]], Discount_Order_tbl[Order ID], Discount_Order_tbl[Discount %], 0)</f>
        <v>0</v>
      </c>
      <c r="L110" s="19">
        <f>tbl_Q1_Sales[[#This Row],[Units]]*tbl_Q1_Sales[[#This Row],[Unit Price]]</f>
        <v>2601</v>
      </c>
      <c r="M110" s="19">
        <f>tbl_Q1_Sales[[#This Row],[Net Revenue]]*(1-tbl_Q1_Sales[[#This Row],[Discount %]]/100)</f>
        <v>2601</v>
      </c>
    </row>
    <row r="111" spans="1:13" x14ac:dyDescent="0.2">
      <c r="A111" t="s">
        <v>311</v>
      </c>
      <c r="B111" s="23">
        <v>46031</v>
      </c>
      <c r="C111" t="s">
        <v>70</v>
      </c>
      <c r="D111" t="s">
        <v>63</v>
      </c>
      <c r="E111" t="s">
        <v>27</v>
      </c>
      <c r="F111" t="s">
        <v>96</v>
      </c>
      <c r="G111" t="s">
        <v>40</v>
      </c>
      <c r="H111">
        <v>29</v>
      </c>
      <c r="I111" s="19">
        <v>189</v>
      </c>
      <c r="J111" t="s">
        <v>36</v>
      </c>
      <c r="K111">
        <f>_xlfn.XLOOKUP(tbl_Q1_Sales[[#This Row],[Order ID]], Discount_Order_tbl[Order ID], Discount_Order_tbl[Discount %], 0)</f>
        <v>0</v>
      </c>
      <c r="L111" s="19">
        <f>tbl_Q1_Sales[[#This Row],[Units]]*tbl_Q1_Sales[[#This Row],[Unit Price]]</f>
        <v>5481</v>
      </c>
      <c r="M111" s="19">
        <f>tbl_Q1_Sales[[#This Row],[Net Revenue]]*(1-tbl_Q1_Sales[[#This Row],[Discount %]]/100)</f>
        <v>5481</v>
      </c>
    </row>
    <row r="112" spans="1:13" x14ac:dyDescent="0.2">
      <c r="A112" t="s">
        <v>313</v>
      </c>
      <c r="B112" s="23">
        <v>46076</v>
      </c>
      <c r="C112" t="s">
        <v>129</v>
      </c>
      <c r="D112" t="s">
        <v>42</v>
      </c>
      <c r="E112" t="s">
        <v>43</v>
      </c>
      <c r="F112" t="s">
        <v>48</v>
      </c>
      <c r="G112" t="s">
        <v>49</v>
      </c>
      <c r="H112">
        <v>8</v>
      </c>
      <c r="I112" s="19">
        <v>44</v>
      </c>
      <c r="J112" t="s">
        <v>31</v>
      </c>
      <c r="K112">
        <f>_xlfn.XLOOKUP(tbl_Q1_Sales[[#This Row],[Order ID]], Discount_Order_tbl[Order ID], Discount_Order_tbl[Discount %], 0)</f>
        <v>0</v>
      </c>
      <c r="L112" s="19">
        <f>tbl_Q1_Sales[[#This Row],[Units]]*tbl_Q1_Sales[[#This Row],[Unit Price]]</f>
        <v>352</v>
      </c>
      <c r="M112" s="19">
        <f>tbl_Q1_Sales[[#This Row],[Net Revenue]]*(1-tbl_Q1_Sales[[#This Row],[Discount %]]/100)</f>
        <v>352</v>
      </c>
    </row>
    <row r="113" spans="1:13" x14ac:dyDescent="0.2">
      <c r="A113" t="s">
        <v>314</v>
      </c>
      <c r="B113" s="23">
        <v>46041</v>
      </c>
      <c r="C113" t="s">
        <v>41</v>
      </c>
      <c r="D113" t="s">
        <v>42</v>
      </c>
      <c r="E113" t="s">
        <v>38</v>
      </c>
      <c r="F113" t="s">
        <v>54</v>
      </c>
      <c r="G113" t="s">
        <v>49</v>
      </c>
      <c r="H113">
        <v>17</v>
      </c>
      <c r="I113" s="19">
        <v>21.99</v>
      </c>
      <c r="J113" t="s">
        <v>44</v>
      </c>
      <c r="K113">
        <f>_xlfn.XLOOKUP(tbl_Q1_Sales[[#This Row],[Order ID]], Discount_Order_tbl[Order ID], Discount_Order_tbl[Discount %], 0)</f>
        <v>0</v>
      </c>
      <c r="L113" s="19">
        <f>tbl_Q1_Sales[[#This Row],[Units]]*tbl_Q1_Sales[[#This Row],[Unit Price]]</f>
        <v>373.83</v>
      </c>
      <c r="M113" s="19">
        <f>tbl_Q1_Sales[[#This Row],[Net Revenue]]*(1-tbl_Q1_Sales[[#This Row],[Discount %]]/100)</f>
        <v>373.83</v>
      </c>
    </row>
    <row r="114" spans="1:13" x14ac:dyDescent="0.2">
      <c r="A114" t="s">
        <v>315</v>
      </c>
      <c r="B114" s="23">
        <v>46056</v>
      </c>
      <c r="C114" t="s">
        <v>53</v>
      </c>
      <c r="D114" t="s">
        <v>51</v>
      </c>
      <c r="E114" t="s">
        <v>65</v>
      </c>
      <c r="F114" t="s">
        <v>28</v>
      </c>
      <c r="G114" t="s">
        <v>29</v>
      </c>
      <c r="H114">
        <v>38</v>
      </c>
      <c r="I114" s="19">
        <v>94.75</v>
      </c>
      <c r="J114" t="s">
        <v>36</v>
      </c>
      <c r="K114">
        <f>_xlfn.XLOOKUP(tbl_Q1_Sales[[#This Row],[Order ID]], Discount_Order_tbl[Order ID], Discount_Order_tbl[Discount %], 0)</f>
        <v>0</v>
      </c>
      <c r="L114" s="19">
        <f>tbl_Q1_Sales[[#This Row],[Units]]*tbl_Q1_Sales[[#This Row],[Unit Price]]</f>
        <v>3600.5</v>
      </c>
      <c r="M114" s="19">
        <f>tbl_Q1_Sales[[#This Row],[Net Revenue]]*(1-tbl_Q1_Sales[[#This Row],[Discount %]]/100)</f>
        <v>3600.5</v>
      </c>
    </row>
    <row r="115" spans="1:13" x14ac:dyDescent="0.2">
      <c r="A115" t="s">
        <v>316</v>
      </c>
      <c r="B115" s="23">
        <v>46050</v>
      </c>
      <c r="C115" t="s">
        <v>59</v>
      </c>
      <c r="D115" t="s">
        <v>42</v>
      </c>
      <c r="E115" t="s">
        <v>65</v>
      </c>
      <c r="F115" t="s">
        <v>48</v>
      </c>
      <c r="G115" t="s">
        <v>49</v>
      </c>
      <c r="H115">
        <v>37</v>
      </c>
      <c r="I115" s="19">
        <v>44</v>
      </c>
      <c r="J115" t="s">
        <v>44</v>
      </c>
      <c r="K115">
        <f>_xlfn.XLOOKUP(tbl_Q1_Sales[[#This Row],[Order ID]], Discount_Order_tbl[Order ID], Discount_Order_tbl[Discount %], 0)</f>
        <v>0</v>
      </c>
      <c r="L115" s="19">
        <f>tbl_Q1_Sales[[#This Row],[Units]]*tbl_Q1_Sales[[#This Row],[Unit Price]]</f>
        <v>1628</v>
      </c>
      <c r="M115" s="19">
        <f>tbl_Q1_Sales[[#This Row],[Net Revenue]]*(1-tbl_Q1_Sales[[#This Row],[Discount %]]/100)</f>
        <v>1628</v>
      </c>
    </row>
    <row r="116" spans="1:13" x14ac:dyDescent="0.2">
      <c r="A116" t="s">
        <v>186</v>
      </c>
      <c r="B116" s="23">
        <v>46042</v>
      </c>
      <c r="C116" t="s">
        <v>78</v>
      </c>
      <c r="D116" t="s">
        <v>63</v>
      </c>
      <c r="E116" t="s">
        <v>38</v>
      </c>
      <c r="F116" t="s">
        <v>86</v>
      </c>
      <c r="G116" t="s">
        <v>87</v>
      </c>
      <c r="H116">
        <v>28</v>
      </c>
      <c r="I116" s="19">
        <v>24.5</v>
      </c>
      <c r="J116" t="s">
        <v>36</v>
      </c>
      <c r="K116">
        <f>_xlfn.XLOOKUP(tbl_Q1_Sales[[#This Row],[Order ID]], Discount_Order_tbl[Order ID], Discount_Order_tbl[Discount %], 0)</f>
        <v>2.5</v>
      </c>
      <c r="L116" s="19">
        <f>tbl_Q1_Sales[[#This Row],[Units]]*tbl_Q1_Sales[[#This Row],[Unit Price]]</f>
        <v>686</v>
      </c>
      <c r="M116" s="19">
        <f>tbl_Q1_Sales[[#This Row],[Net Revenue]]*(1-tbl_Q1_Sales[[#This Row],[Discount %]]/100)</f>
        <v>668.85</v>
      </c>
    </row>
    <row r="117" spans="1:13" x14ac:dyDescent="0.2">
      <c r="A117" t="s">
        <v>317</v>
      </c>
      <c r="B117" s="23">
        <v>46111</v>
      </c>
      <c r="C117" t="s">
        <v>149</v>
      </c>
      <c r="D117" t="s">
        <v>47</v>
      </c>
      <c r="E117" t="s">
        <v>43</v>
      </c>
      <c r="F117" t="s">
        <v>48</v>
      </c>
      <c r="G117" t="s">
        <v>49</v>
      </c>
      <c r="H117">
        <v>15</v>
      </c>
      <c r="I117" s="19">
        <v>44</v>
      </c>
      <c r="J117" t="s">
        <v>31</v>
      </c>
      <c r="K117">
        <f>_xlfn.XLOOKUP(tbl_Q1_Sales[[#This Row],[Order ID]], Discount_Order_tbl[Order ID], Discount_Order_tbl[Discount %], 0)</f>
        <v>0</v>
      </c>
      <c r="L117" s="19">
        <f>tbl_Q1_Sales[[#This Row],[Units]]*tbl_Q1_Sales[[#This Row],[Unit Price]]</f>
        <v>660</v>
      </c>
      <c r="M117" s="19">
        <f>tbl_Q1_Sales[[#This Row],[Net Revenue]]*(1-tbl_Q1_Sales[[#This Row],[Discount %]]/100)</f>
        <v>660</v>
      </c>
    </row>
    <row r="118" spans="1:13" x14ac:dyDescent="0.2">
      <c r="A118" t="s">
        <v>318</v>
      </c>
      <c r="B118" s="23">
        <v>46059</v>
      </c>
      <c r="C118" t="s">
        <v>105</v>
      </c>
      <c r="D118" t="s">
        <v>47</v>
      </c>
      <c r="E118" t="s">
        <v>34</v>
      </c>
      <c r="F118" t="s">
        <v>86</v>
      </c>
      <c r="G118" t="s">
        <v>87</v>
      </c>
      <c r="H118">
        <v>9</v>
      </c>
      <c r="I118" s="19">
        <v>24.5</v>
      </c>
      <c r="J118" t="s">
        <v>36</v>
      </c>
      <c r="K118">
        <f>_xlfn.XLOOKUP(tbl_Q1_Sales[[#This Row],[Order ID]], Discount_Order_tbl[Order ID], Discount_Order_tbl[Discount %], 0)</f>
        <v>0</v>
      </c>
      <c r="L118" s="19">
        <f>tbl_Q1_Sales[[#This Row],[Units]]*tbl_Q1_Sales[[#This Row],[Unit Price]]</f>
        <v>220.5</v>
      </c>
      <c r="M118" s="19">
        <f>tbl_Q1_Sales[[#This Row],[Net Revenue]]*(1-tbl_Q1_Sales[[#This Row],[Discount %]]/100)</f>
        <v>220.5</v>
      </c>
    </row>
    <row r="119" spans="1:13" x14ac:dyDescent="0.2">
      <c r="A119" t="s">
        <v>319</v>
      </c>
      <c r="B119" s="23">
        <v>46069</v>
      </c>
      <c r="C119" t="s">
        <v>50</v>
      </c>
      <c r="D119" t="s">
        <v>51</v>
      </c>
      <c r="E119" t="s">
        <v>65</v>
      </c>
      <c r="F119" t="s">
        <v>28</v>
      </c>
      <c r="G119" t="s">
        <v>29</v>
      </c>
      <c r="H119">
        <v>3</v>
      </c>
      <c r="I119" s="19">
        <v>94.75</v>
      </c>
      <c r="J119" t="s">
        <v>76</v>
      </c>
      <c r="K119">
        <f>_xlfn.XLOOKUP(tbl_Q1_Sales[[#This Row],[Order ID]], Discount_Order_tbl[Order ID], Discount_Order_tbl[Discount %], 0)</f>
        <v>0</v>
      </c>
      <c r="L119" s="19">
        <f>tbl_Q1_Sales[[#This Row],[Units]]*tbl_Q1_Sales[[#This Row],[Unit Price]]</f>
        <v>284.25</v>
      </c>
      <c r="M119" s="19">
        <f>tbl_Q1_Sales[[#This Row],[Net Revenue]]*(1-tbl_Q1_Sales[[#This Row],[Discount %]]/100)</f>
        <v>284.25</v>
      </c>
    </row>
    <row r="120" spans="1:13" x14ac:dyDescent="0.2">
      <c r="A120" t="s">
        <v>190</v>
      </c>
      <c r="B120" s="23">
        <v>46031</v>
      </c>
      <c r="C120" t="s">
        <v>83</v>
      </c>
      <c r="D120" t="s">
        <v>47</v>
      </c>
      <c r="E120" t="s">
        <v>34</v>
      </c>
      <c r="F120" t="s">
        <v>39</v>
      </c>
      <c r="G120" t="s">
        <v>40</v>
      </c>
      <c r="H120">
        <v>22</v>
      </c>
      <c r="I120" s="19">
        <v>76.5</v>
      </c>
      <c r="J120" t="s">
        <v>44</v>
      </c>
      <c r="K120">
        <f>_xlfn.XLOOKUP(tbl_Q1_Sales[[#This Row],[Order ID]], Discount_Order_tbl[Order ID], Discount_Order_tbl[Discount %], 0)</f>
        <v>15</v>
      </c>
      <c r="L120" s="19">
        <f>tbl_Q1_Sales[[#This Row],[Units]]*tbl_Q1_Sales[[#This Row],[Unit Price]]</f>
        <v>1683</v>
      </c>
      <c r="M120" s="19">
        <f>tbl_Q1_Sales[[#This Row],[Net Revenue]]*(1-tbl_Q1_Sales[[#This Row],[Discount %]]/100)</f>
        <v>1430.55</v>
      </c>
    </row>
    <row r="121" spans="1:13" x14ac:dyDescent="0.2">
      <c r="A121" t="s">
        <v>320</v>
      </c>
      <c r="B121" s="23">
        <v>46108</v>
      </c>
      <c r="C121" t="s">
        <v>25</v>
      </c>
      <c r="D121" t="s">
        <v>51</v>
      </c>
      <c r="E121" t="s">
        <v>38</v>
      </c>
      <c r="F121" t="s">
        <v>28</v>
      </c>
      <c r="G121" t="s">
        <v>29</v>
      </c>
      <c r="H121">
        <v>40</v>
      </c>
      <c r="I121" s="19">
        <v>94.75</v>
      </c>
      <c r="J121" t="s">
        <v>44</v>
      </c>
      <c r="K121">
        <f>_xlfn.XLOOKUP(tbl_Q1_Sales[[#This Row],[Order ID]], Discount_Order_tbl[Order ID], Discount_Order_tbl[Discount %], 0)</f>
        <v>0</v>
      </c>
      <c r="L121" s="19">
        <f>tbl_Q1_Sales[[#This Row],[Units]]*tbl_Q1_Sales[[#This Row],[Unit Price]]</f>
        <v>3790</v>
      </c>
      <c r="M121" s="19">
        <f>tbl_Q1_Sales[[#This Row],[Net Revenue]]*(1-tbl_Q1_Sales[[#This Row],[Discount %]]/100)</f>
        <v>3790</v>
      </c>
    </row>
    <row r="122" spans="1:13" x14ac:dyDescent="0.2">
      <c r="A122" t="s">
        <v>170</v>
      </c>
      <c r="B122" s="23">
        <v>46048</v>
      </c>
      <c r="C122" t="s">
        <v>70</v>
      </c>
      <c r="D122" t="s">
        <v>47</v>
      </c>
      <c r="E122" t="s">
        <v>345</v>
      </c>
      <c r="F122" t="s">
        <v>39</v>
      </c>
      <c r="G122" t="s">
        <v>40</v>
      </c>
      <c r="H122">
        <v>25</v>
      </c>
      <c r="I122" s="19">
        <v>76.5</v>
      </c>
      <c r="J122" t="s">
        <v>44</v>
      </c>
      <c r="K122">
        <f>_xlfn.XLOOKUP(tbl_Q1_Sales[[#This Row],[Order ID]], Discount_Order_tbl[Order ID], Discount_Order_tbl[Discount %], 0)</f>
        <v>15</v>
      </c>
      <c r="L122" s="19">
        <f>tbl_Q1_Sales[[#This Row],[Units]]*tbl_Q1_Sales[[#This Row],[Unit Price]]</f>
        <v>1912.5</v>
      </c>
      <c r="M122" s="19">
        <f>tbl_Q1_Sales[[#This Row],[Net Revenue]]*(1-tbl_Q1_Sales[[#This Row],[Discount %]]/100)</f>
        <v>1625.625</v>
      </c>
    </row>
    <row r="123" spans="1:13" x14ac:dyDescent="0.2">
      <c r="A123" t="s">
        <v>321</v>
      </c>
      <c r="B123" s="23">
        <v>46088</v>
      </c>
      <c r="C123" t="s">
        <v>25</v>
      </c>
      <c r="D123" t="s">
        <v>51</v>
      </c>
      <c r="E123" t="s">
        <v>27</v>
      </c>
      <c r="F123" t="s">
        <v>28</v>
      </c>
      <c r="G123" t="s">
        <v>29</v>
      </c>
      <c r="H123">
        <v>14</v>
      </c>
      <c r="I123" s="19">
        <v>94.75</v>
      </c>
      <c r="J123" t="s">
        <v>31</v>
      </c>
      <c r="K123">
        <f>_xlfn.XLOOKUP(tbl_Q1_Sales[[#This Row],[Order ID]], Discount_Order_tbl[Order ID], Discount_Order_tbl[Discount %], 0)</f>
        <v>0</v>
      </c>
      <c r="L123" s="19">
        <f>tbl_Q1_Sales[[#This Row],[Units]]*tbl_Q1_Sales[[#This Row],[Unit Price]]</f>
        <v>1326.5</v>
      </c>
      <c r="M123" s="19">
        <f>tbl_Q1_Sales[[#This Row],[Net Revenue]]*(1-tbl_Q1_Sales[[#This Row],[Discount %]]/100)</f>
        <v>1326.5</v>
      </c>
    </row>
    <row r="124" spans="1:13" x14ac:dyDescent="0.2">
      <c r="A124" t="s">
        <v>323</v>
      </c>
      <c r="B124" s="23">
        <v>46063</v>
      </c>
      <c r="C124" t="s">
        <v>129</v>
      </c>
      <c r="D124" t="s">
        <v>51</v>
      </c>
      <c r="E124" t="s">
        <v>27</v>
      </c>
      <c r="F124" t="s">
        <v>35</v>
      </c>
      <c r="G124" t="s">
        <v>29</v>
      </c>
      <c r="H124">
        <v>8</v>
      </c>
      <c r="I124" s="19">
        <v>68</v>
      </c>
      <c r="J124" t="s">
        <v>44</v>
      </c>
      <c r="K124">
        <f>_xlfn.XLOOKUP(tbl_Q1_Sales[[#This Row],[Order ID]], Discount_Order_tbl[Order ID], Discount_Order_tbl[Discount %], 0)</f>
        <v>0</v>
      </c>
      <c r="L124" s="19">
        <f>tbl_Q1_Sales[[#This Row],[Units]]*tbl_Q1_Sales[[#This Row],[Unit Price]]</f>
        <v>544</v>
      </c>
      <c r="M124" s="19">
        <f>tbl_Q1_Sales[[#This Row],[Net Revenue]]*(1-tbl_Q1_Sales[[#This Row],[Discount %]]/100)</f>
        <v>544</v>
      </c>
    </row>
    <row r="125" spans="1:13" x14ac:dyDescent="0.2">
      <c r="A125" t="s">
        <v>324</v>
      </c>
      <c r="B125" s="23">
        <v>46103</v>
      </c>
      <c r="C125" t="s">
        <v>53</v>
      </c>
      <c r="D125" t="s">
        <v>63</v>
      </c>
      <c r="E125" t="s">
        <v>34</v>
      </c>
      <c r="F125" t="s">
        <v>54</v>
      </c>
      <c r="G125" t="s">
        <v>49</v>
      </c>
      <c r="H125">
        <v>1</v>
      </c>
      <c r="I125" s="19">
        <v>21.99</v>
      </c>
      <c r="J125" t="s">
        <v>31</v>
      </c>
      <c r="K125">
        <f>_xlfn.XLOOKUP(tbl_Q1_Sales[[#This Row],[Order ID]], Discount_Order_tbl[Order ID], Discount_Order_tbl[Discount %], 0)</f>
        <v>0</v>
      </c>
      <c r="L125" s="19">
        <f>tbl_Q1_Sales[[#This Row],[Units]]*tbl_Q1_Sales[[#This Row],[Unit Price]]</f>
        <v>21.99</v>
      </c>
      <c r="M125" s="19">
        <f>tbl_Q1_Sales[[#This Row],[Net Revenue]]*(1-tbl_Q1_Sales[[#This Row],[Discount %]]/100)</f>
        <v>21.99</v>
      </c>
    </row>
    <row r="126" spans="1:13" x14ac:dyDescent="0.2">
      <c r="A126" t="s">
        <v>160</v>
      </c>
      <c r="B126" s="23">
        <v>46032</v>
      </c>
      <c r="C126" t="s">
        <v>25</v>
      </c>
      <c r="D126" t="s">
        <v>47</v>
      </c>
      <c r="E126" t="s">
        <v>65</v>
      </c>
      <c r="F126" t="s">
        <v>39</v>
      </c>
      <c r="G126" t="s">
        <v>40</v>
      </c>
      <c r="H126">
        <v>5</v>
      </c>
      <c r="I126" s="19">
        <v>76.5</v>
      </c>
      <c r="J126" t="s">
        <v>55</v>
      </c>
      <c r="K126">
        <f>_xlfn.XLOOKUP(tbl_Q1_Sales[[#This Row],[Order ID]], Discount_Order_tbl[Order ID], Discount_Order_tbl[Discount %], 0)</f>
        <v>22.5</v>
      </c>
      <c r="L126" s="19">
        <f>tbl_Q1_Sales[[#This Row],[Units]]*tbl_Q1_Sales[[#This Row],[Unit Price]]</f>
        <v>382.5</v>
      </c>
      <c r="M126" s="19">
        <f>tbl_Q1_Sales[[#This Row],[Net Revenue]]*(1-tbl_Q1_Sales[[#This Row],[Discount %]]/100)</f>
        <v>296.4375</v>
      </c>
    </row>
    <row r="127" spans="1:13" x14ac:dyDescent="0.2">
      <c r="A127" t="s">
        <v>326</v>
      </c>
      <c r="B127" s="23">
        <v>46070</v>
      </c>
      <c r="C127" t="s">
        <v>112</v>
      </c>
      <c r="D127" t="s">
        <v>42</v>
      </c>
      <c r="E127" t="s">
        <v>65</v>
      </c>
      <c r="F127" t="s">
        <v>48</v>
      </c>
      <c r="G127" t="s">
        <v>49</v>
      </c>
      <c r="H127">
        <v>10</v>
      </c>
      <c r="I127" s="19">
        <v>44</v>
      </c>
      <c r="J127" t="s">
        <v>55</v>
      </c>
      <c r="K127">
        <f>_xlfn.XLOOKUP(tbl_Q1_Sales[[#This Row],[Order ID]], Discount_Order_tbl[Order ID], Discount_Order_tbl[Discount %], 0)</f>
        <v>0</v>
      </c>
      <c r="L127" s="19">
        <f>tbl_Q1_Sales[[#This Row],[Units]]*tbl_Q1_Sales[[#This Row],[Unit Price]]</f>
        <v>440</v>
      </c>
      <c r="M127" s="19">
        <f>tbl_Q1_Sales[[#This Row],[Net Revenue]]*(1-tbl_Q1_Sales[[#This Row],[Discount %]]/100)</f>
        <v>440</v>
      </c>
    </row>
    <row r="128" spans="1:13" x14ac:dyDescent="0.2">
      <c r="A128" t="s">
        <v>161</v>
      </c>
      <c r="B128" s="23">
        <v>46109</v>
      </c>
      <c r="C128" t="s">
        <v>89</v>
      </c>
      <c r="D128" t="s">
        <v>51</v>
      </c>
      <c r="E128" t="s">
        <v>38</v>
      </c>
      <c r="F128" t="s">
        <v>54</v>
      </c>
      <c r="G128" t="s">
        <v>49</v>
      </c>
      <c r="H128">
        <v>21</v>
      </c>
      <c r="I128" s="19">
        <v>21.99</v>
      </c>
      <c r="J128" t="s">
        <v>44</v>
      </c>
      <c r="K128">
        <f>_xlfn.XLOOKUP(tbl_Q1_Sales[[#This Row],[Order ID]], Discount_Order_tbl[Order ID], Discount_Order_tbl[Discount %], 0)</f>
        <v>5</v>
      </c>
      <c r="L128" s="19">
        <f>tbl_Q1_Sales[[#This Row],[Units]]*tbl_Q1_Sales[[#This Row],[Unit Price]]</f>
        <v>461.78999999999996</v>
      </c>
      <c r="M128" s="19">
        <f>tbl_Q1_Sales[[#This Row],[Net Revenue]]*(1-tbl_Q1_Sales[[#This Row],[Discount %]]/100)</f>
        <v>438.70049999999992</v>
      </c>
    </row>
    <row r="129" spans="1:13" x14ac:dyDescent="0.2">
      <c r="A129" t="s">
        <v>327</v>
      </c>
      <c r="B129" s="23">
        <v>46069</v>
      </c>
      <c r="C129" t="s">
        <v>78</v>
      </c>
      <c r="D129" t="s">
        <v>63</v>
      </c>
      <c r="E129" t="s">
        <v>345</v>
      </c>
      <c r="F129" t="s">
        <v>35</v>
      </c>
      <c r="G129" t="s">
        <v>29</v>
      </c>
      <c r="H129">
        <v>16</v>
      </c>
      <c r="I129" s="19">
        <v>68</v>
      </c>
      <c r="J129" t="s">
        <v>44</v>
      </c>
      <c r="K129">
        <f>_xlfn.XLOOKUP(tbl_Q1_Sales[[#This Row],[Order ID]], Discount_Order_tbl[Order ID], Discount_Order_tbl[Discount %], 0)</f>
        <v>0</v>
      </c>
      <c r="L129" s="19">
        <f>tbl_Q1_Sales[[#This Row],[Units]]*tbl_Q1_Sales[[#This Row],[Unit Price]]</f>
        <v>1088</v>
      </c>
      <c r="M129" s="19">
        <f>tbl_Q1_Sales[[#This Row],[Net Revenue]]*(1-tbl_Q1_Sales[[#This Row],[Discount %]]/100)</f>
        <v>1088</v>
      </c>
    </row>
    <row r="130" spans="1:13" x14ac:dyDescent="0.2">
      <c r="A130" t="s">
        <v>328</v>
      </c>
      <c r="B130" s="23">
        <v>46109</v>
      </c>
      <c r="C130" t="s">
        <v>46</v>
      </c>
      <c r="D130" t="s">
        <v>42</v>
      </c>
      <c r="E130" t="s">
        <v>27</v>
      </c>
      <c r="F130" t="s">
        <v>86</v>
      </c>
      <c r="G130" t="s">
        <v>87</v>
      </c>
      <c r="H130">
        <v>4</v>
      </c>
      <c r="I130" s="19">
        <v>24.5</v>
      </c>
      <c r="J130" t="s">
        <v>55</v>
      </c>
      <c r="K130">
        <f>_xlfn.XLOOKUP(tbl_Q1_Sales[[#This Row],[Order ID]], Discount_Order_tbl[Order ID], Discount_Order_tbl[Discount %], 0)</f>
        <v>0</v>
      </c>
      <c r="L130" s="19">
        <f>tbl_Q1_Sales[[#This Row],[Units]]*tbl_Q1_Sales[[#This Row],[Unit Price]]</f>
        <v>98</v>
      </c>
      <c r="M130" s="19">
        <f>tbl_Q1_Sales[[#This Row],[Net Revenue]]*(1-tbl_Q1_Sales[[#This Row],[Discount %]]/100)</f>
        <v>98</v>
      </c>
    </row>
    <row r="131" spans="1:13" x14ac:dyDescent="0.2">
      <c r="A131" t="s">
        <v>329</v>
      </c>
      <c r="B131" s="23">
        <v>46043</v>
      </c>
      <c r="C131" t="s">
        <v>50</v>
      </c>
      <c r="D131" t="s">
        <v>47</v>
      </c>
      <c r="E131" t="s">
        <v>43</v>
      </c>
      <c r="F131" t="s">
        <v>57</v>
      </c>
      <c r="G131" t="s">
        <v>40</v>
      </c>
      <c r="H131">
        <v>39</v>
      </c>
      <c r="I131" s="19">
        <v>340</v>
      </c>
      <c r="J131" t="s">
        <v>36</v>
      </c>
      <c r="K131">
        <f>_xlfn.XLOOKUP(tbl_Q1_Sales[[#This Row],[Order ID]], Discount_Order_tbl[Order ID], Discount_Order_tbl[Discount %], 0)</f>
        <v>0</v>
      </c>
      <c r="L131" s="19">
        <f>tbl_Q1_Sales[[#This Row],[Units]]*tbl_Q1_Sales[[#This Row],[Unit Price]]</f>
        <v>13260</v>
      </c>
      <c r="M131" s="19">
        <f>tbl_Q1_Sales[[#This Row],[Net Revenue]]*(1-tbl_Q1_Sales[[#This Row],[Discount %]]/100)</f>
        <v>13260</v>
      </c>
    </row>
    <row r="132" spans="1:13" x14ac:dyDescent="0.2">
      <c r="A132" t="s">
        <v>330</v>
      </c>
      <c r="B132" s="23">
        <v>46106</v>
      </c>
      <c r="C132" t="s">
        <v>53</v>
      </c>
      <c r="D132" t="s">
        <v>51</v>
      </c>
      <c r="E132" t="s">
        <v>43</v>
      </c>
      <c r="F132" t="s">
        <v>68</v>
      </c>
      <c r="G132" t="s">
        <v>69</v>
      </c>
      <c r="H132">
        <v>6</v>
      </c>
      <c r="I132" s="19">
        <v>18.399999999999999</v>
      </c>
      <c r="J132" t="s">
        <v>36</v>
      </c>
      <c r="K132">
        <f>_xlfn.XLOOKUP(tbl_Q1_Sales[[#This Row],[Order ID]], Discount_Order_tbl[Order ID], Discount_Order_tbl[Discount %], 0)</f>
        <v>0</v>
      </c>
      <c r="L132" s="19">
        <f>tbl_Q1_Sales[[#This Row],[Units]]*tbl_Q1_Sales[[#This Row],[Unit Price]]</f>
        <v>110.39999999999999</v>
      </c>
      <c r="M132" s="19">
        <f>tbl_Q1_Sales[[#This Row],[Net Revenue]]*(1-tbl_Q1_Sales[[#This Row],[Discount %]]/100)</f>
        <v>110.39999999999999</v>
      </c>
    </row>
    <row r="133" spans="1:13" x14ac:dyDescent="0.2">
      <c r="A133" t="s">
        <v>182</v>
      </c>
      <c r="B133" s="23">
        <v>46031</v>
      </c>
      <c r="C133" t="s">
        <v>83</v>
      </c>
      <c r="D133" t="s">
        <v>47</v>
      </c>
      <c r="E133" t="s">
        <v>34</v>
      </c>
      <c r="F133" t="s">
        <v>98</v>
      </c>
      <c r="G133" t="s">
        <v>69</v>
      </c>
      <c r="H133">
        <v>16</v>
      </c>
      <c r="I133" s="19">
        <v>12.25</v>
      </c>
      <c r="J133" t="s">
        <v>44</v>
      </c>
      <c r="K133">
        <f>_xlfn.XLOOKUP(tbl_Q1_Sales[[#This Row],[Order ID]], Discount_Order_tbl[Order ID], Discount_Order_tbl[Discount %], 0)</f>
        <v>12.5</v>
      </c>
      <c r="L133" s="19">
        <f>tbl_Q1_Sales[[#This Row],[Units]]*tbl_Q1_Sales[[#This Row],[Unit Price]]</f>
        <v>196</v>
      </c>
      <c r="M133" s="19">
        <f>tbl_Q1_Sales[[#This Row],[Net Revenue]]*(1-tbl_Q1_Sales[[#This Row],[Discount %]]/100)</f>
        <v>171.5</v>
      </c>
    </row>
    <row r="134" spans="1:13" x14ac:dyDescent="0.2">
      <c r="A134" t="s">
        <v>331</v>
      </c>
      <c r="B134" s="23">
        <v>46037</v>
      </c>
      <c r="C134" t="s">
        <v>92</v>
      </c>
      <c r="D134" t="s">
        <v>42</v>
      </c>
      <c r="E134" t="s">
        <v>65</v>
      </c>
      <c r="F134" t="s">
        <v>35</v>
      </c>
      <c r="G134" t="s">
        <v>29</v>
      </c>
      <c r="H134">
        <v>32</v>
      </c>
      <c r="I134" s="19">
        <v>68</v>
      </c>
      <c r="J134" t="s">
        <v>31</v>
      </c>
      <c r="K134">
        <f>_xlfn.XLOOKUP(tbl_Q1_Sales[[#This Row],[Order ID]], Discount_Order_tbl[Order ID], Discount_Order_tbl[Discount %], 0)</f>
        <v>0</v>
      </c>
      <c r="L134" s="19">
        <f>tbl_Q1_Sales[[#This Row],[Units]]*tbl_Q1_Sales[[#This Row],[Unit Price]]</f>
        <v>2176</v>
      </c>
      <c r="M134" s="19">
        <f>tbl_Q1_Sales[[#This Row],[Net Revenue]]*(1-tbl_Q1_Sales[[#This Row],[Discount %]]/100)</f>
        <v>2176</v>
      </c>
    </row>
    <row r="135" spans="1:13" x14ac:dyDescent="0.2">
      <c r="A135" t="s">
        <v>332</v>
      </c>
      <c r="B135" s="23">
        <v>46040</v>
      </c>
      <c r="C135" t="s">
        <v>92</v>
      </c>
      <c r="D135" t="s">
        <v>63</v>
      </c>
      <c r="E135" t="s">
        <v>43</v>
      </c>
      <c r="F135" t="s">
        <v>57</v>
      </c>
      <c r="G135" t="s">
        <v>40</v>
      </c>
      <c r="H135">
        <v>3</v>
      </c>
      <c r="I135" s="19">
        <v>340</v>
      </c>
      <c r="J135" t="s">
        <v>36</v>
      </c>
      <c r="K135">
        <f>_xlfn.XLOOKUP(tbl_Q1_Sales[[#This Row],[Order ID]], Discount_Order_tbl[Order ID], Discount_Order_tbl[Discount %], 0)</f>
        <v>0</v>
      </c>
      <c r="L135" s="19">
        <f>tbl_Q1_Sales[[#This Row],[Units]]*tbl_Q1_Sales[[#This Row],[Unit Price]]</f>
        <v>1020</v>
      </c>
      <c r="M135" s="19">
        <f>tbl_Q1_Sales[[#This Row],[Net Revenue]]*(1-tbl_Q1_Sales[[#This Row],[Discount %]]/100)</f>
        <v>1020</v>
      </c>
    </row>
    <row r="136" spans="1:13" x14ac:dyDescent="0.2">
      <c r="A136" t="s">
        <v>334</v>
      </c>
      <c r="B136" s="23">
        <v>46043</v>
      </c>
      <c r="C136" t="s">
        <v>92</v>
      </c>
      <c r="D136" t="s">
        <v>51</v>
      </c>
      <c r="E136" t="s">
        <v>43</v>
      </c>
      <c r="F136" t="s">
        <v>39</v>
      </c>
      <c r="G136" t="s">
        <v>40</v>
      </c>
      <c r="H136">
        <v>18</v>
      </c>
      <c r="I136" s="19">
        <v>76.5</v>
      </c>
      <c r="J136" t="s">
        <v>76</v>
      </c>
      <c r="K136">
        <f>_xlfn.XLOOKUP(tbl_Q1_Sales[[#This Row],[Order ID]], Discount_Order_tbl[Order ID], Discount_Order_tbl[Discount %], 0)</f>
        <v>0</v>
      </c>
      <c r="L136" s="19">
        <f>tbl_Q1_Sales[[#This Row],[Units]]*tbl_Q1_Sales[[#This Row],[Unit Price]]</f>
        <v>1377</v>
      </c>
      <c r="M136" s="19">
        <f>tbl_Q1_Sales[[#This Row],[Net Revenue]]*(1-tbl_Q1_Sales[[#This Row],[Discount %]]/100)</f>
        <v>1377</v>
      </c>
    </row>
    <row r="137" spans="1:13" x14ac:dyDescent="0.2">
      <c r="A137" t="s">
        <v>166</v>
      </c>
      <c r="B137" s="23">
        <v>46057</v>
      </c>
      <c r="C137" t="s">
        <v>137</v>
      </c>
      <c r="D137" t="s">
        <v>47</v>
      </c>
      <c r="E137" t="s">
        <v>38</v>
      </c>
      <c r="F137" t="s">
        <v>96</v>
      </c>
      <c r="G137" t="s">
        <v>40</v>
      </c>
      <c r="H137">
        <v>21</v>
      </c>
      <c r="I137" s="19">
        <v>189</v>
      </c>
      <c r="J137" t="s">
        <v>31</v>
      </c>
      <c r="K137">
        <f>_xlfn.XLOOKUP(tbl_Q1_Sales[[#This Row],[Order ID]], Discount_Order_tbl[Order ID], Discount_Order_tbl[Discount %], 0)</f>
        <v>22.5</v>
      </c>
      <c r="L137" s="19">
        <f>tbl_Q1_Sales[[#This Row],[Units]]*tbl_Q1_Sales[[#This Row],[Unit Price]]</f>
        <v>3969</v>
      </c>
      <c r="M137" s="19">
        <f>tbl_Q1_Sales[[#This Row],[Net Revenue]]*(1-tbl_Q1_Sales[[#This Row],[Discount %]]/100)</f>
        <v>3075.9749999999999</v>
      </c>
    </row>
    <row r="138" spans="1:13" x14ac:dyDescent="0.2">
      <c r="A138" t="s">
        <v>335</v>
      </c>
      <c r="B138" s="23">
        <v>46086</v>
      </c>
      <c r="C138" t="s">
        <v>129</v>
      </c>
      <c r="D138" t="s">
        <v>51</v>
      </c>
      <c r="E138" t="s">
        <v>38</v>
      </c>
      <c r="F138" t="s">
        <v>96</v>
      </c>
      <c r="G138" t="s">
        <v>40</v>
      </c>
      <c r="H138">
        <v>22</v>
      </c>
      <c r="I138" s="19">
        <v>189</v>
      </c>
      <c r="J138" t="s">
        <v>44</v>
      </c>
      <c r="K138">
        <f>_xlfn.XLOOKUP(tbl_Q1_Sales[[#This Row],[Order ID]], Discount_Order_tbl[Order ID], Discount_Order_tbl[Discount %], 0)</f>
        <v>0</v>
      </c>
      <c r="L138" s="19">
        <f>tbl_Q1_Sales[[#This Row],[Units]]*tbl_Q1_Sales[[#This Row],[Unit Price]]</f>
        <v>4158</v>
      </c>
      <c r="M138" s="19">
        <f>tbl_Q1_Sales[[#This Row],[Net Revenue]]*(1-tbl_Q1_Sales[[#This Row],[Discount %]]/100)</f>
        <v>4158</v>
      </c>
    </row>
    <row r="139" spans="1:13" x14ac:dyDescent="0.2">
      <c r="A139" t="s">
        <v>336</v>
      </c>
      <c r="B139" s="23">
        <v>46110</v>
      </c>
      <c r="C139" t="s">
        <v>121</v>
      </c>
      <c r="D139" t="s">
        <v>63</v>
      </c>
      <c r="E139" t="s">
        <v>43</v>
      </c>
      <c r="F139" t="s">
        <v>96</v>
      </c>
      <c r="G139" t="s">
        <v>40</v>
      </c>
      <c r="H139">
        <v>40</v>
      </c>
      <c r="I139" s="19">
        <v>189</v>
      </c>
      <c r="J139" t="s">
        <v>36</v>
      </c>
      <c r="K139">
        <f>_xlfn.XLOOKUP(tbl_Q1_Sales[[#This Row],[Order ID]], Discount_Order_tbl[Order ID], Discount_Order_tbl[Discount %], 0)</f>
        <v>0</v>
      </c>
      <c r="L139" s="19">
        <f>tbl_Q1_Sales[[#This Row],[Units]]*tbl_Q1_Sales[[#This Row],[Unit Price]]</f>
        <v>7560</v>
      </c>
      <c r="M139" s="19">
        <f>tbl_Q1_Sales[[#This Row],[Net Revenue]]*(1-tbl_Q1_Sales[[#This Row],[Discount %]]/100)</f>
        <v>7560</v>
      </c>
    </row>
    <row r="140" spans="1:13" x14ac:dyDescent="0.2">
      <c r="A140" t="s">
        <v>337</v>
      </c>
      <c r="B140" s="23">
        <v>46101</v>
      </c>
      <c r="C140" t="s">
        <v>89</v>
      </c>
      <c r="D140" t="s">
        <v>42</v>
      </c>
      <c r="E140" t="s">
        <v>27</v>
      </c>
      <c r="F140" t="s">
        <v>39</v>
      </c>
      <c r="G140" t="s">
        <v>40</v>
      </c>
      <c r="H140">
        <v>15</v>
      </c>
      <c r="I140" s="19">
        <v>76.5</v>
      </c>
      <c r="J140" t="s">
        <v>44</v>
      </c>
      <c r="K140">
        <f>_xlfn.XLOOKUP(tbl_Q1_Sales[[#This Row],[Order ID]], Discount_Order_tbl[Order ID], Discount_Order_tbl[Discount %], 0)</f>
        <v>0</v>
      </c>
      <c r="L140" s="19">
        <f>tbl_Q1_Sales[[#This Row],[Units]]*tbl_Q1_Sales[[#This Row],[Unit Price]]</f>
        <v>1147.5</v>
      </c>
      <c r="M140" s="19">
        <f>tbl_Q1_Sales[[#This Row],[Net Revenue]]*(1-tbl_Q1_Sales[[#This Row],[Discount %]]/100)</f>
        <v>1147.5</v>
      </c>
    </row>
    <row r="141" spans="1:13" x14ac:dyDescent="0.2">
      <c r="A141" t="s">
        <v>338</v>
      </c>
      <c r="B141" s="23">
        <v>46078</v>
      </c>
      <c r="C141" t="s">
        <v>50</v>
      </c>
      <c r="D141" t="s">
        <v>51</v>
      </c>
      <c r="E141" t="s">
        <v>34</v>
      </c>
      <c r="F141" t="s">
        <v>39</v>
      </c>
      <c r="G141" t="s">
        <v>40</v>
      </c>
      <c r="H141">
        <v>28</v>
      </c>
      <c r="I141" s="19">
        <v>76.5</v>
      </c>
      <c r="J141" t="s">
        <v>76</v>
      </c>
      <c r="K141">
        <f>_xlfn.XLOOKUP(tbl_Q1_Sales[[#This Row],[Order ID]], Discount_Order_tbl[Order ID], Discount_Order_tbl[Discount %], 0)</f>
        <v>0</v>
      </c>
      <c r="L141" s="19">
        <f>tbl_Q1_Sales[[#This Row],[Units]]*tbl_Q1_Sales[[#This Row],[Unit Price]]</f>
        <v>2142</v>
      </c>
      <c r="M141" s="19">
        <f>tbl_Q1_Sales[[#This Row],[Net Revenue]]*(1-tbl_Q1_Sales[[#This Row],[Discount %]]/100)</f>
        <v>2142</v>
      </c>
    </row>
    <row r="142" spans="1:13" x14ac:dyDescent="0.2">
      <c r="A142" t="s">
        <v>339</v>
      </c>
      <c r="B142" s="23">
        <v>46041</v>
      </c>
      <c r="C142" t="s">
        <v>60</v>
      </c>
      <c r="D142" t="s">
        <v>51</v>
      </c>
      <c r="E142" t="s">
        <v>38</v>
      </c>
      <c r="F142" t="s">
        <v>54</v>
      </c>
      <c r="G142" t="s">
        <v>49</v>
      </c>
      <c r="H142">
        <v>25</v>
      </c>
      <c r="I142" s="19">
        <v>21.99</v>
      </c>
      <c r="J142" t="s">
        <v>55</v>
      </c>
      <c r="K142">
        <f>_xlfn.XLOOKUP(tbl_Q1_Sales[[#This Row],[Order ID]], Discount_Order_tbl[Order ID], Discount_Order_tbl[Discount %], 0)</f>
        <v>0</v>
      </c>
      <c r="L142" s="19">
        <f>tbl_Q1_Sales[[#This Row],[Units]]*tbl_Q1_Sales[[#This Row],[Unit Price]]</f>
        <v>549.75</v>
      </c>
      <c r="M142" s="19">
        <f>tbl_Q1_Sales[[#This Row],[Net Revenue]]*(1-tbl_Q1_Sales[[#This Row],[Discount %]]/100)</f>
        <v>549.75</v>
      </c>
    </row>
    <row r="143" spans="1:13" x14ac:dyDescent="0.2">
      <c r="A143" t="s">
        <v>340</v>
      </c>
      <c r="B143" s="23">
        <v>46025</v>
      </c>
      <c r="C143" t="s">
        <v>25</v>
      </c>
      <c r="D143" t="s">
        <v>51</v>
      </c>
      <c r="E143" t="s">
        <v>27</v>
      </c>
      <c r="F143" t="s">
        <v>35</v>
      </c>
      <c r="G143" t="s">
        <v>29</v>
      </c>
      <c r="H143">
        <v>19</v>
      </c>
      <c r="I143" s="19">
        <v>68</v>
      </c>
      <c r="J143" t="s">
        <v>76</v>
      </c>
      <c r="K143">
        <f>_xlfn.XLOOKUP(tbl_Q1_Sales[[#This Row],[Order ID]], Discount_Order_tbl[Order ID], Discount_Order_tbl[Discount %], 0)</f>
        <v>0</v>
      </c>
      <c r="L143" s="19">
        <f>tbl_Q1_Sales[[#This Row],[Units]]*tbl_Q1_Sales[[#This Row],[Unit Price]]</f>
        <v>1292</v>
      </c>
      <c r="M143" s="19">
        <f>tbl_Q1_Sales[[#This Row],[Net Revenue]]*(1-tbl_Q1_Sales[[#This Row],[Discount %]]/100)</f>
        <v>1292</v>
      </c>
    </row>
    <row r="144" spans="1:13" x14ac:dyDescent="0.2">
      <c r="A144" t="s">
        <v>341</v>
      </c>
      <c r="B144" s="23">
        <v>46078</v>
      </c>
      <c r="C144" t="s">
        <v>97</v>
      </c>
      <c r="D144" t="s">
        <v>47</v>
      </c>
      <c r="E144" t="s">
        <v>43</v>
      </c>
      <c r="F144" t="s">
        <v>68</v>
      </c>
      <c r="G144" t="s">
        <v>69</v>
      </c>
      <c r="H144">
        <v>40</v>
      </c>
      <c r="I144" s="19">
        <v>18.399999999999999</v>
      </c>
      <c r="J144" t="s">
        <v>44</v>
      </c>
      <c r="K144">
        <f>_xlfn.XLOOKUP(tbl_Q1_Sales[[#This Row],[Order ID]], Discount_Order_tbl[Order ID], Discount_Order_tbl[Discount %], 0)</f>
        <v>0</v>
      </c>
      <c r="L144" s="19">
        <f>tbl_Q1_Sales[[#This Row],[Units]]*tbl_Q1_Sales[[#This Row],[Unit Price]]</f>
        <v>736</v>
      </c>
      <c r="M144" s="19">
        <f>tbl_Q1_Sales[[#This Row],[Net Revenue]]*(1-tbl_Q1_Sales[[#This Row],[Discount %]]/100)</f>
        <v>736</v>
      </c>
    </row>
    <row r="145" spans="1:13" x14ac:dyDescent="0.2">
      <c r="A145" t="s">
        <v>342</v>
      </c>
      <c r="B145" s="23">
        <v>46067</v>
      </c>
      <c r="C145" t="s">
        <v>53</v>
      </c>
      <c r="D145" t="s">
        <v>51</v>
      </c>
      <c r="E145" t="s">
        <v>345</v>
      </c>
      <c r="F145" t="s">
        <v>68</v>
      </c>
      <c r="G145" t="s">
        <v>69</v>
      </c>
      <c r="H145">
        <v>26</v>
      </c>
      <c r="I145" s="19">
        <v>18.399999999999999</v>
      </c>
      <c r="J145" t="s">
        <v>76</v>
      </c>
      <c r="K145">
        <f>_xlfn.XLOOKUP(tbl_Q1_Sales[[#This Row],[Order ID]], Discount_Order_tbl[Order ID], Discount_Order_tbl[Discount %], 0)</f>
        <v>0</v>
      </c>
      <c r="L145" s="19">
        <f>tbl_Q1_Sales[[#This Row],[Units]]*tbl_Q1_Sales[[#This Row],[Unit Price]]</f>
        <v>478.4</v>
      </c>
      <c r="M145" s="19">
        <f>tbl_Q1_Sales[[#This Row],[Net Revenue]]*(1-tbl_Q1_Sales[[#This Row],[Discount %]]/100)</f>
        <v>478.4</v>
      </c>
    </row>
    <row r="146" spans="1:13" x14ac:dyDescent="0.2">
      <c r="A146" t="s">
        <v>352</v>
      </c>
      <c r="B146" s="26"/>
      <c r="H146">
        <f>SUBTOTAL(109,tbl_Q1_Sales[Units])</f>
        <v>2800</v>
      </c>
      <c r="I146"/>
      <c r="L146" s="19">
        <f>SUBTOTAL(109,tbl_Q1_Sales[Net Revenue])</f>
        <v>267228.15000000002</v>
      </c>
      <c r="M146" s="19">
        <f>SUBTOTAL(109,tbl_Q1_Sales[Actual Revenue])</f>
        <v>261060.67074999999</v>
      </c>
    </row>
    <row r="147" spans="1:13" x14ac:dyDescent="0.2">
      <c r="I147"/>
    </row>
    <row r="148" spans="1:13" x14ac:dyDescent="0.2">
      <c r="A148" s="32" t="s">
        <v>353</v>
      </c>
      <c r="B148" s="32"/>
      <c r="C148" s="32"/>
      <c r="D148" s="27">
        <f>tbl_Q1_Sales[[#Totals],[Actual Revenue]]/tbl_Q1_Sales[[#Totals],[Net Revenue]]</f>
        <v>0.97692054804106521</v>
      </c>
      <c r="I148"/>
    </row>
    <row r="149" spans="1:13" x14ac:dyDescent="0.2">
      <c r="I149"/>
    </row>
    <row r="150" spans="1:13" x14ac:dyDescent="0.2">
      <c r="I150"/>
    </row>
    <row r="151" spans="1:13" x14ac:dyDescent="0.2">
      <c r="I151"/>
    </row>
  </sheetData>
  <mergeCells count="1">
    <mergeCell ref="A148:C148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FE92-2F53-C84D-AE05-7C68086F6D23}">
  <dimension ref="A1:L15"/>
  <sheetViews>
    <sheetView topLeftCell="B1" zoomScaleNormal="70" workbookViewId="0">
      <selection activeCell="E21" sqref="E21"/>
    </sheetView>
  </sheetViews>
  <sheetFormatPr baseColWidth="10" defaultRowHeight="15" x14ac:dyDescent="0.2"/>
  <cols>
    <col min="2" max="2" width="13.5" customWidth="1"/>
    <col min="3" max="3" width="15.6640625" customWidth="1"/>
    <col min="4" max="4" width="14" customWidth="1"/>
    <col min="5" max="5" width="18.33203125" customWidth="1"/>
    <col min="6" max="6" width="15.33203125" bestFit="1" customWidth="1"/>
    <col min="7" max="7" width="16.5" customWidth="1"/>
    <col min="8" max="8" width="17" bestFit="1" customWidth="1"/>
    <col min="9" max="10" width="37" bestFit="1" customWidth="1"/>
    <col min="11" max="11" width="19.83203125" bestFit="1" customWidth="1"/>
    <col min="12" max="12" width="19.33203125" bestFit="1" customWidth="1"/>
  </cols>
  <sheetData>
    <row r="1" spans="1:12" x14ac:dyDescent="0.2">
      <c r="A1" t="s">
        <v>17</v>
      </c>
      <c r="B1" t="s">
        <v>346</v>
      </c>
      <c r="C1" t="s">
        <v>347</v>
      </c>
      <c r="D1" t="s">
        <v>348</v>
      </c>
      <c r="E1" t="s">
        <v>354</v>
      </c>
      <c r="F1" t="s">
        <v>357</v>
      </c>
      <c r="G1" t="s">
        <v>349</v>
      </c>
      <c r="H1" t="s">
        <v>350</v>
      </c>
      <c r="I1" t="s">
        <v>351</v>
      </c>
      <c r="J1" t="s">
        <v>355</v>
      </c>
      <c r="K1" t="s">
        <v>358</v>
      </c>
      <c r="L1" t="s">
        <v>367</v>
      </c>
    </row>
    <row r="2" spans="1:12" x14ac:dyDescent="0.2">
      <c r="A2" t="s">
        <v>63</v>
      </c>
      <c r="B2" s="24">
        <f>SUMIFS(tbl_Q1_Sales[Net Revenue], tbl_Q1_Sales[Region], Region_Analysis_tbl[[#This Row],[Region]])</f>
        <v>79398.599999999991</v>
      </c>
      <c r="C2" s="24">
        <f>SUMIFS(tbl_Q1_Sales[Actual Revenue], tbl_Q1_Sales[Region], Region_Analysis_tbl[[#This Row],[Region]])</f>
        <v>78419.750000000015</v>
      </c>
      <c r="D2" s="19">
        <f>_xlfn.XLOOKUP(Region_Analysis_tbl[[#This Row],[Region]], Regional_Budget_Tbl[Region], Regional_Budget_Tbl[Q1 Budget Revenue])</f>
        <v>76000</v>
      </c>
      <c r="E2" s="25">
        <f>Region_Analysis_tbl[[#This Row],[Actual Revenue]]/Region_Analysis_tbl[[#This Row],[Budget]]</f>
        <v>1.0318388157894738</v>
      </c>
      <c r="F2" s="24">
        <f>Region_Analysis_tbl[[#This Row],[Actual Revenue]]-Region_Analysis_tbl[[#This Row],[Budget]]</f>
        <v>2419.7500000000146</v>
      </c>
      <c r="G2">
        <f>SUMIFS(tbl_Q1_Sales[Units], tbl_Q1_Sales[Region], Region_Analysis_tbl[[#This Row],[Region]])</f>
        <v>634</v>
      </c>
      <c r="H2">
        <f>_xlfn.XLOOKUP(Region_Analysis_tbl[[#This Row],[Region]], Regional_Budget_Tbl[Region], Regional_Budget_Tbl[Q1 Budget Units])</f>
        <v>620</v>
      </c>
      <c r="I2" s="25">
        <f>Region_Analysis_tbl[[#This Row],[Units Achieved]]/Region_Analysis_tbl[[#This Row],[Budget Units]]</f>
        <v>1.0225806451612902</v>
      </c>
      <c r="J2" s="25">
        <f>Region_Analysis_tbl[[#This Row],[Actual Revenue]]/Region_Analysis_tbl[[#Totals],[Actual Revenue]]</f>
        <v>0.30038898534470276</v>
      </c>
      <c r="K2" s="25">
        <f>1-Region_Analysis_tbl[[#This Row],[Actual Revenue]]/Region_Analysis_tbl[[#This Row],[Net Revenue]]</f>
        <v>1.2328303017937081E-2</v>
      </c>
      <c r="L2" s="25">
        <f>Region_Analysis_tbl[[#This Row],[Variance]]/Region_Analysis_tbl[[#Totals],[Variance]]</f>
        <v>-9.7025464307546105E-2</v>
      </c>
    </row>
    <row r="3" spans="1:12" x14ac:dyDescent="0.2">
      <c r="A3" t="s">
        <v>51</v>
      </c>
      <c r="B3" s="24">
        <f>SUMIFS(tbl_Q1_Sales[Net Revenue], tbl_Q1_Sales[Region], Region_Analysis_tbl[[#This Row],[Region]])</f>
        <v>68222.75</v>
      </c>
      <c r="C3" s="24">
        <f>SUMIFS(tbl_Q1_Sales[Actual Revenue], tbl_Q1_Sales[Region], Region_Analysis_tbl[[#This Row],[Region]])</f>
        <v>68161.402000000002</v>
      </c>
      <c r="D3" s="19">
        <f>_xlfn.XLOOKUP(Region_Analysis_tbl[[#This Row],[Region]], Regional_Budget_Tbl[Region], Regional_Budget_Tbl[Q1 Budget Revenue])</f>
        <v>72000</v>
      </c>
      <c r="E3" s="25">
        <f>Region_Analysis_tbl[[#This Row],[Actual Revenue]]/Region_Analysis_tbl[[#This Row],[Budget]]</f>
        <v>0.94668613888888886</v>
      </c>
      <c r="F3" s="24">
        <f>Region_Analysis_tbl[[#This Row],[Actual Revenue]]-Region_Analysis_tbl[[#This Row],[Budget]]</f>
        <v>-3838.5979999999981</v>
      </c>
      <c r="G3">
        <f>SUMIFS(tbl_Q1_Sales[Units], tbl_Q1_Sales[Region], Region_Analysis_tbl[[#This Row],[Region]])</f>
        <v>830</v>
      </c>
      <c r="H3">
        <f>_xlfn.XLOOKUP(Region_Analysis_tbl[[#This Row],[Region]], Regional_Budget_Tbl[Region], Regional_Budget_Tbl[Q1 Budget Units])</f>
        <v>850</v>
      </c>
      <c r="I3" s="25">
        <f>Region_Analysis_tbl[[#This Row],[Units Achieved]]/Region_Analysis_tbl[[#This Row],[Budget Units]]</f>
        <v>0.97647058823529409</v>
      </c>
      <c r="J3" s="25">
        <f>Region_Analysis_tbl[[#This Row],[Actual Revenue]]/Region_Analysis_tbl[[#Totals],[Actual Revenue]]</f>
        <v>0.26109410430985036</v>
      </c>
      <c r="K3" s="25">
        <f>1-Region_Analysis_tbl[[#This Row],[Actual Revenue]]/Region_Analysis_tbl[[#This Row],[Net Revenue]]</f>
        <v>8.9923082842602309E-4</v>
      </c>
      <c r="L3" s="25">
        <f>Region_Analysis_tbl[[#This Row],[Variance]]/Region_Analysis_tbl[[#Totals],[Variance]]</f>
        <v>0.15391745148879657</v>
      </c>
    </row>
    <row r="4" spans="1:12" x14ac:dyDescent="0.2">
      <c r="A4" t="s">
        <v>42</v>
      </c>
      <c r="B4" s="24">
        <f>SUMIFS(tbl_Q1_Sales[Net Revenue], tbl_Q1_Sales[Region], Region_Analysis_tbl[[#This Row],[Region]])</f>
        <v>61563.149999999994</v>
      </c>
      <c r="C4" s="24">
        <f>SUMIFS(tbl_Q1_Sales[Actual Revenue], tbl_Q1_Sales[Region], Region_Analysis_tbl[[#This Row],[Region]])</f>
        <v>61504.506249999999</v>
      </c>
      <c r="D4" s="19">
        <f>_xlfn.XLOOKUP(Region_Analysis_tbl[[#This Row],[Region]], Regional_Budget_Tbl[Region], Regional_Budget_Tbl[Q1 Budget Revenue])</f>
        <v>70000</v>
      </c>
      <c r="E4" s="25">
        <f>Region_Analysis_tbl[[#This Row],[Actual Revenue]]/Region_Analysis_tbl[[#This Row],[Budget]]</f>
        <v>0.87863580357142856</v>
      </c>
      <c r="F4" s="24">
        <f>Region_Analysis_tbl[[#This Row],[Actual Revenue]]-Region_Analysis_tbl[[#This Row],[Budget]]</f>
        <v>-8495.4937500000015</v>
      </c>
      <c r="G4">
        <f>SUMIFS(tbl_Q1_Sales[Units], tbl_Q1_Sales[Region], Region_Analysis_tbl[[#This Row],[Region]])</f>
        <v>695</v>
      </c>
      <c r="H4">
        <f>_xlfn.XLOOKUP(Region_Analysis_tbl[[#This Row],[Region]], Regional_Budget_Tbl[Region], Regional_Budget_Tbl[Q1 Budget Units])</f>
        <v>780</v>
      </c>
      <c r="I4" s="25">
        <f>Region_Analysis_tbl[[#This Row],[Units Achieved]]/Region_Analysis_tbl[[#This Row],[Budget Units]]</f>
        <v>0.89102564102564108</v>
      </c>
      <c r="J4" s="25">
        <f>Region_Analysis_tbl[[#This Row],[Actual Revenue]]/Region_Analysis_tbl[[#Totals],[Actual Revenue]]</f>
        <v>0.23559468407594292</v>
      </c>
      <c r="K4" s="25">
        <f>1-Region_Analysis_tbl[[#This Row],[Actual Revenue]]/Region_Analysis_tbl[[#This Row],[Net Revenue]]</f>
        <v>9.525787748027037E-4</v>
      </c>
      <c r="L4" s="25">
        <f>Region_Analysis_tbl[[#This Row],[Variance]]/Region_Analysis_tbl[[#Totals],[Variance]]</f>
        <v>0.34064644100241814</v>
      </c>
    </row>
    <row r="5" spans="1:12" x14ac:dyDescent="0.2">
      <c r="A5" t="s">
        <v>47</v>
      </c>
      <c r="B5" s="24">
        <f>SUMIFS(tbl_Q1_Sales[Net Revenue], tbl_Q1_Sales[Region], Region_Analysis_tbl[[#This Row],[Region]])</f>
        <v>58043.65</v>
      </c>
      <c r="C5" s="24">
        <f>SUMIFS(tbl_Q1_Sales[Actual Revenue], tbl_Q1_Sales[Region], Region_Analysis_tbl[[#This Row],[Region]])</f>
        <v>52975.012499999997</v>
      </c>
      <c r="D5" s="19">
        <f>_xlfn.XLOOKUP(Region_Analysis_tbl[[#This Row],[Region]], Regional_Budget_Tbl[Region], Regional_Budget_Tbl[Q1 Budget Revenue])</f>
        <v>68000</v>
      </c>
      <c r="E5" s="25">
        <f>Region_Analysis_tbl[[#This Row],[Actual Revenue]]/Region_Analysis_tbl[[#This Row],[Budget]]</f>
        <v>0.77904430147058823</v>
      </c>
      <c r="F5" s="24">
        <f>Region_Analysis_tbl[[#This Row],[Actual Revenue]]-Region_Analysis_tbl[[#This Row],[Budget]]</f>
        <v>-15024.987500000003</v>
      </c>
      <c r="G5">
        <f>SUMIFS(tbl_Q1_Sales[Units], tbl_Q1_Sales[Region], Region_Analysis_tbl[[#This Row],[Region]])</f>
        <v>641</v>
      </c>
      <c r="H5">
        <f>_xlfn.XLOOKUP(Region_Analysis_tbl[[#This Row],[Region]], Regional_Budget_Tbl[Region], Regional_Budget_Tbl[Q1 Budget Units])</f>
        <v>640</v>
      </c>
      <c r="I5" s="25">
        <f>Region_Analysis_tbl[[#This Row],[Units Achieved]]/Region_Analysis_tbl[[#This Row],[Budget Units]]</f>
        <v>1.0015624999999999</v>
      </c>
      <c r="J5" s="25">
        <f>Region_Analysis_tbl[[#This Row],[Actual Revenue]]/Region_Analysis_tbl[[#Totals],[Actual Revenue]]</f>
        <v>0.20292222626950407</v>
      </c>
      <c r="K5" s="25">
        <f>1-Region_Analysis_tbl[[#This Row],[Actual Revenue]]/Region_Analysis_tbl[[#This Row],[Net Revenue]]</f>
        <v>8.7324582447864785E-2</v>
      </c>
      <c r="L5" s="25">
        <f>Region_Analysis_tbl[[#This Row],[Variance]]/Region_Analysis_tbl[[#Totals],[Variance]]</f>
        <v>0.60246157181633142</v>
      </c>
    </row>
    <row r="6" spans="1:12" x14ac:dyDescent="0.2">
      <c r="A6" t="s">
        <v>352</v>
      </c>
      <c r="C6" s="24">
        <f>SUBTOTAL(109,Region_Analysis_tbl[Actual Revenue])</f>
        <v>261060.67074999999</v>
      </c>
      <c r="D6" s="19">
        <f>SUBTOTAL(109,Region_Analysis_tbl[Budget])</f>
        <v>286000</v>
      </c>
      <c r="F6" s="24">
        <f>SUBTOTAL(109,Region_Analysis_tbl[Variance])</f>
        <v>-24939.329249999988</v>
      </c>
      <c r="G6">
        <f>SUBTOTAL(109,Region_Analysis_tbl[Units Achieved])</f>
        <v>2800</v>
      </c>
      <c r="H6">
        <f>SUBTOTAL(109,Region_Analysis_tbl[Budget Units])</f>
        <v>2890</v>
      </c>
      <c r="I6" s="25"/>
    </row>
    <row r="7" spans="1:12" x14ac:dyDescent="0.2">
      <c r="B7" s="28" t="s">
        <v>364</v>
      </c>
      <c r="C7" s="29">
        <f>Region_Analysis_tbl[[#Totals],[Actual Revenue]]/Region_Analysis_tbl[[#Totals],[Budget]]</f>
        <v>0.9127995480769231</v>
      </c>
      <c r="F7" s="28" t="s">
        <v>365</v>
      </c>
      <c r="G7" s="29">
        <f>Region_Analysis_tbl[[#Totals],[Units Achieved]]/Region_Analysis_tbl[[#Totals],[Budget Units]]</f>
        <v>0.96885813148788924</v>
      </c>
    </row>
    <row r="9" spans="1:12" x14ac:dyDescent="0.2">
      <c r="A9" t="s">
        <v>20</v>
      </c>
      <c r="B9" t="s">
        <v>346</v>
      </c>
      <c r="C9" t="s">
        <v>347</v>
      </c>
      <c r="D9" t="s">
        <v>348</v>
      </c>
      <c r="E9" t="s">
        <v>354</v>
      </c>
      <c r="F9" t="s">
        <v>356</v>
      </c>
      <c r="G9" t="s">
        <v>357</v>
      </c>
      <c r="H9" t="s">
        <v>17</v>
      </c>
      <c r="I9" t="s">
        <v>359</v>
      </c>
      <c r="J9" t="s">
        <v>360</v>
      </c>
      <c r="K9" t="s">
        <v>361</v>
      </c>
    </row>
    <row r="10" spans="1:12" x14ac:dyDescent="0.2">
      <c r="A10" t="s">
        <v>87</v>
      </c>
      <c r="B10" s="19">
        <f>SUMIFS(tbl_Q1_Sales[Net Revenue], tbl_Q1_Sales[Category], Categories_Analysis[[#This Row],[Category]])</f>
        <v>6247.5</v>
      </c>
      <c r="C10" s="19">
        <f>SUMIFS(tbl_Q1_Sales[Actual Revenue], tbl_Q1_Sales[Category], Categories_Analysis[[#This Row],[Category]])</f>
        <v>6064.9750000000004</v>
      </c>
      <c r="D10" s="19">
        <f>_xlfn.XLOOKUP(Categories_Analysis[[#This Row],[Category]], Category_Budget_Tbl[Category], Category_Budget_Tbl[Q1 Budget Revenue])</f>
        <v>12000</v>
      </c>
      <c r="E10" s="25">
        <f>Categories_Analysis[[#This Row],[Actual Revenue]]/Categories_Analysis[[#This Row],[Budget]]</f>
        <v>0.50541458333333333</v>
      </c>
      <c r="F10" s="25">
        <f>Categories_Analysis[[#This Row],[Actual Revenue]]/Categories_Analysis[[#Totals],[Actual Revenue]]</f>
        <v>2.3232051701146565E-2</v>
      </c>
      <c r="G10" s="19">
        <f>Categories_Analysis[[#This Row],[Actual Revenue]]-Categories_Analysis[[#This Row],[Budget]]</f>
        <v>-5935.0249999999996</v>
      </c>
      <c r="H10" t="s">
        <v>63</v>
      </c>
      <c r="I10" s="25">
        <v>1.0318388157894738</v>
      </c>
      <c r="J10" s="25">
        <v>1.0225806451612902</v>
      </c>
      <c r="K10" s="25">
        <v>1.2328303017937081E-2</v>
      </c>
    </row>
    <row r="11" spans="1:12" x14ac:dyDescent="0.2">
      <c r="A11" t="s">
        <v>69</v>
      </c>
      <c r="B11" s="19">
        <f>SUMIFS(tbl_Q1_Sales[Net Revenue], tbl_Q1_Sales[Category], Categories_Analysis[[#This Row],[Category]])</f>
        <v>8625.9</v>
      </c>
      <c r="C11" s="19">
        <f>SUMIFS(tbl_Q1_Sales[Actual Revenue], tbl_Q1_Sales[Category], Categories_Analysis[[#This Row],[Category]])</f>
        <v>8460.24</v>
      </c>
      <c r="D11" s="19">
        <f>_xlfn.XLOOKUP(Categories_Analysis[[#This Row],[Category]], Category_Budget_Tbl[Category], Category_Budget_Tbl[Q1 Budget Revenue])</f>
        <v>10000</v>
      </c>
      <c r="E11" s="25">
        <f>Categories_Analysis[[#This Row],[Actual Revenue]]/Categories_Analysis[[#This Row],[Budget]]</f>
        <v>0.846024</v>
      </c>
      <c r="F11" s="25">
        <f>Categories_Analysis[[#This Row],[Actual Revenue]]/Categories_Analysis[[#Totals],[Actual Revenue]]</f>
        <v>3.2407179433403793E-2</v>
      </c>
      <c r="G11" s="19">
        <f>Categories_Analysis[[#This Row],[Actual Revenue]]-Categories_Analysis[[#This Row],[Budget]]</f>
        <v>-1539.7600000000002</v>
      </c>
      <c r="H11" t="s">
        <v>51</v>
      </c>
      <c r="I11" s="25">
        <v>0.94668613888888886</v>
      </c>
      <c r="J11" s="25">
        <v>0.97647058823529409</v>
      </c>
      <c r="K11" s="25">
        <v>8.9923082842602309E-4</v>
      </c>
    </row>
    <row r="12" spans="1:12" x14ac:dyDescent="0.2">
      <c r="A12" t="s">
        <v>49</v>
      </c>
      <c r="B12" s="19">
        <f>SUMIFS(tbl_Q1_Sales[Net Revenue], tbl_Q1_Sales[Category], Categories_Analysis[[#This Row],[Category]])</f>
        <v>13373.5</v>
      </c>
      <c r="C12" s="19">
        <f>SUMIFS(tbl_Q1_Sales[Actual Revenue], tbl_Q1_Sales[Category], Categories_Analysis[[#This Row],[Category]])</f>
        <v>13243.18075</v>
      </c>
      <c r="D12" s="19">
        <f>_xlfn.XLOOKUP(Categories_Analysis[[#This Row],[Category]], Category_Budget_Tbl[Category], Category_Budget_Tbl[Q1 Budget Revenue])</f>
        <v>15000</v>
      </c>
      <c r="E12" s="25">
        <f>Categories_Analysis[[#This Row],[Actual Revenue]]/Categories_Analysis[[#This Row],[Budget]]</f>
        <v>0.88287871666666662</v>
      </c>
      <c r="F12" s="25">
        <f>Categories_Analysis[[#This Row],[Actual Revenue]]/Categories_Analysis[[#Totals],[Actual Revenue]]</f>
        <v>5.0728364069370264E-2</v>
      </c>
      <c r="G12" s="19">
        <f>Categories_Analysis[[#This Row],[Actual Revenue]]-Categories_Analysis[[#This Row],[Budget]]</f>
        <v>-1756.8192500000005</v>
      </c>
      <c r="H12" t="s">
        <v>42</v>
      </c>
      <c r="I12" s="25">
        <v>0.87863580357142856</v>
      </c>
      <c r="J12" s="25">
        <v>0.89102564102564108</v>
      </c>
      <c r="K12" s="25">
        <v>9.525787748027037E-4</v>
      </c>
    </row>
    <row r="13" spans="1:12" x14ac:dyDescent="0.2">
      <c r="A13" t="s">
        <v>29</v>
      </c>
      <c r="B13" s="19">
        <f>SUMIFS(tbl_Q1_Sales[Net Revenue], tbl_Q1_Sales[Category], Categories_Analysis[[#This Row],[Category]])</f>
        <v>42137.75</v>
      </c>
      <c r="C13" s="19">
        <f>SUMIFS(tbl_Q1_Sales[Actual Revenue], tbl_Q1_Sales[Category], Categories_Analysis[[#This Row],[Category]])</f>
        <v>41442.275000000001</v>
      </c>
      <c r="D13" s="19">
        <f>_xlfn.XLOOKUP(Categories_Analysis[[#This Row],[Category]], Category_Budget_Tbl[Category], Category_Budget_Tbl[Q1 Budget Revenue])</f>
        <v>44000</v>
      </c>
      <c r="E13" s="25">
        <f>Categories_Analysis[[#This Row],[Actual Revenue]]/Categories_Analysis[[#This Row],[Budget]]</f>
        <v>0.94186988636363644</v>
      </c>
      <c r="F13" s="25">
        <f>Categories_Analysis[[#This Row],[Actual Revenue]]/Categories_Analysis[[#Totals],[Actual Revenue]]</f>
        <v>0.15874576159227924</v>
      </c>
      <c r="G13" s="19">
        <f>Categories_Analysis[[#This Row],[Actual Revenue]]-Categories_Analysis[[#This Row],[Budget]]</f>
        <v>-2557.7249999999985</v>
      </c>
      <c r="H13" t="s">
        <v>47</v>
      </c>
      <c r="I13" s="25">
        <v>0.77904430147058823</v>
      </c>
      <c r="J13" s="25">
        <v>1.0015624999999999</v>
      </c>
      <c r="K13" s="25">
        <v>8.7324582447864785E-2</v>
      </c>
    </row>
    <row r="14" spans="1:12" x14ac:dyDescent="0.2">
      <c r="A14" t="s">
        <v>40</v>
      </c>
      <c r="B14" s="19">
        <f>SUMIFS(tbl_Q1_Sales[Net Revenue], tbl_Q1_Sales[Category], Categories_Analysis[[#This Row],[Category]])</f>
        <v>196843.5</v>
      </c>
      <c r="C14" s="19">
        <f>SUMIFS(tbl_Q1_Sales[Actual Revenue], tbl_Q1_Sales[Category], Categories_Analysis[[#This Row],[Category]])</f>
        <v>191849.99999999997</v>
      </c>
      <c r="D14" s="19">
        <f>_xlfn.XLOOKUP(Categories_Analysis[[#This Row],[Category]], Category_Budget_Tbl[Category], Category_Budget_Tbl[Q1 Budget Revenue])</f>
        <v>205000</v>
      </c>
      <c r="E14" s="25">
        <f>Categories_Analysis[[#This Row],[Actual Revenue]]/Categories_Analysis[[#This Row],[Budget]]</f>
        <v>0.9358536585365852</v>
      </c>
      <c r="F14" s="25">
        <f>Categories_Analysis[[#This Row],[Actual Revenue]]/Categories_Analysis[[#Totals],[Actual Revenue]]</f>
        <v>0.73488664320380004</v>
      </c>
      <c r="G14" s="19">
        <f>Categories_Analysis[[#This Row],[Actual Revenue]]-Categories_Analysis[[#This Row],[Budget]]</f>
        <v>-13150.000000000029</v>
      </c>
    </row>
    <row r="15" spans="1:12" x14ac:dyDescent="0.2">
      <c r="A15" t="s">
        <v>352</v>
      </c>
      <c r="C15" s="19">
        <f>SUBTOTAL(109,Categories_Analysis[Actual Revenue])</f>
        <v>261060.67074999999</v>
      </c>
      <c r="G15" s="19">
        <f>SUBTOTAL(109,Categories_Analysis[Variance])</f>
        <v>-24939.329250000028</v>
      </c>
    </row>
  </sheetData>
  <phoneticPr fontId="9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D35A-F789-6B4B-B258-2B790CB384CA}">
  <dimension ref="A1:M2"/>
  <sheetViews>
    <sheetView zoomScaleNormal="100" workbookViewId="0">
      <selection activeCell="J2" sqref="J2"/>
    </sheetView>
  </sheetViews>
  <sheetFormatPr baseColWidth="10" defaultRowHeight="15" x14ac:dyDescent="0.2"/>
  <cols>
    <col min="8" max="8" width="12.6640625" bestFit="1" customWidth="1"/>
    <col min="9" max="9" width="11.5" bestFit="1" customWidth="1"/>
  </cols>
  <sheetData>
    <row r="1" spans="1:13" ht="19" x14ac:dyDescent="0.25">
      <c r="A1" s="35" t="s">
        <v>362</v>
      </c>
      <c r="B1" s="35"/>
      <c r="C1" s="35"/>
      <c r="D1" s="35"/>
      <c r="E1" s="35"/>
      <c r="F1" s="35"/>
      <c r="H1" s="30" t="s">
        <v>347</v>
      </c>
      <c r="I1" s="30" t="s">
        <v>348</v>
      </c>
      <c r="J1" s="30" t="s">
        <v>357</v>
      </c>
      <c r="K1" s="33" t="s">
        <v>366</v>
      </c>
      <c r="L1" s="33"/>
    </row>
    <row r="2" spans="1:13" x14ac:dyDescent="0.2">
      <c r="A2" s="36" t="s">
        <v>363</v>
      </c>
      <c r="B2" s="36"/>
      <c r="C2" s="36"/>
      <c r="D2" s="36"/>
      <c r="E2" s="36"/>
      <c r="F2" s="36"/>
      <c r="H2" s="31">
        <v>261060.67074999999</v>
      </c>
      <c r="I2" s="31">
        <v>286000</v>
      </c>
      <c r="J2" s="31">
        <v>-24939.329249999988</v>
      </c>
      <c r="K2" s="34">
        <v>0.91279999999999994</v>
      </c>
      <c r="L2" s="33"/>
      <c r="M2" s="27"/>
    </row>
  </sheetData>
  <mergeCells count="4">
    <mergeCell ref="K1:L1"/>
    <mergeCell ref="K2:L2"/>
    <mergeCell ref="A1:F1"/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55AC-A7F1-B944-8734-215DA25C609E}">
  <dimension ref="A1:L7"/>
  <sheetViews>
    <sheetView workbookViewId="0">
      <selection activeCell="H6" sqref="H6"/>
    </sheetView>
  </sheetViews>
  <sheetFormatPr baseColWidth="10" defaultRowHeight="15" x14ac:dyDescent="0.2"/>
  <sheetData>
    <row r="1" spans="1:12" x14ac:dyDescent="0.2">
      <c r="A1" s="10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20" t="s">
        <v>22</v>
      </c>
      <c r="J1" s="11" t="s">
        <v>23</v>
      </c>
      <c r="K1" s="11" t="s">
        <v>343</v>
      </c>
      <c r="L1" s="16" t="s">
        <v>344</v>
      </c>
    </row>
    <row r="2" spans="1:12" x14ac:dyDescent="0.2">
      <c r="A2" s="12" t="s">
        <v>201</v>
      </c>
      <c r="B2" s="13">
        <v>46053</v>
      </c>
      <c r="C2" s="13" t="s">
        <v>72</v>
      </c>
      <c r="D2" s="13" t="s">
        <v>51</v>
      </c>
      <c r="E2" s="13" t="s">
        <v>65</v>
      </c>
      <c r="F2" s="13" t="s">
        <v>48</v>
      </c>
      <c r="G2" s="13" t="s">
        <v>49</v>
      </c>
      <c r="H2" s="13" t="s">
        <v>71</v>
      </c>
      <c r="I2" s="21">
        <v>44</v>
      </c>
      <c r="J2" s="13" t="s">
        <v>44</v>
      </c>
      <c r="K2" s="13" t="s">
        <v>51</v>
      </c>
      <c r="L2" s="17"/>
    </row>
    <row r="3" spans="1:12" x14ac:dyDescent="0.2">
      <c r="A3" s="14" t="s">
        <v>248</v>
      </c>
      <c r="B3" s="15">
        <v>46074</v>
      </c>
      <c r="C3" s="15" t="s">
        <v>50</v>
      </c>
      <c r="D3" s="15" t="s">
        <v>51</v>
      </c>
      <c r="E3" s="15" t="s">
        <v>43</v>
      </c>
      <c r="F3" s="15" t="s">
        <v>48</v>
      </c>
      <c r="G3" s="15" t="s">
        <v>49</v>
      </c>
      <c r="H3" s="15" t="s">
        <v>71</v>
      </c>
      <c r="I3" s="22">
        <v>44</v>
      </c>
      <c r="J3" s="15" t="s">
        <v>36</v>
      </c>
      <c r="K3" s="15" t="s">
        <v>51</v>
      </c>
      <c r="L3" s="18"/>
    </row>
    <row r="4" spans="1:12" x14ac:dyDescent="0.2">
      <c r="A4" s="12" t="s">
        <v>275</v>
      </c>
      <c r="B4" s="13">
        <v>46068</v>
      </c>
      <c r="C4" s="13" t="s">
        <v>59</v>
      </c>
      <c r="D4" s="13" t="s">
        <v>63</v>
      </c>
      <c r="E4" s="13" t="s">
        <v>38</v>
      </c>
      <c r="F4" s="13" t="s">
        <v>96</v>
      </c>
      <c r="G4" s="13" t="s">
        <v>40</v>
      </c>
      <c r="H4" s="13" t="s">
        <v>71</v>
      </c>
      <c r="I4" s="21">
        <v>189</v>
      </c>
      <c r="J4" s="13" t="s">
        <v>44</v>
      </c>
      <c r="K4" s="13" t="s">
        <v>63</v>
      </c>
      <c r="L4" s="17"/>
    </row>
    <row r="5" spans="1:12" x14ac:dyDescent="0.2">
      <c r="A5" s="14" t="s">
        <v>283</v>
      </c>
      <c r="B5" s="15">
        <v>46096</v>
      </c>
      <c r="C5" s="15" t="s">
        <v>92</v>
      </c>
      <c r="D5" s="15" t="s">
        <v>42</v>
      </c>
      <c r="E5" s="15" t="s">
        <v>52</v>
      </c>
      <c r="F5" s="15" t="s">
        <v>86</v>
      </c>
      <c r="G5" s="15" t="s">
        <v>87</v>
      </c>
      <c r="H5" s="15" t="s">
        <v>71</v>
      </c>
      <c r="I5" s="22">
        <v>24.5</v>
      </c>
      <c r="J5" s="15" t="s">
        <v>44</v>
      </c>
      <c r="K5" s="15" t="s">
        <v>42</v>
      </c>
      <c r="L5" s="18"/>
    </row>
    <row r="6" spans="1:12" x14ac:dyDescent="0.2">
      <c r="A6" s="12" t="s">
        <v>301</v>
      </c>
      <c r="B6" s="13" t="s">
        <v>302</v>
      </c>
      <c r="C6" s="13" t="s">
        <v>50</v>
      </c>
      <c r="D6" s="13" t="s">
        <v>79</v>
      </c>
      <c r="E6" s="13" t="s">
        <v>34</v>
      </c>
      <c r="F6" s="13" t="s">
        <v>57</v>
      </c>
      <c r="G6" s="13" t="s">
        <v>40</v>
      </c>
      <c r="H6" s="13" t="s">
        <v>71</v>
      </c>
      <c r="I6" s="21">
        <v>340</v>
      </c>
      <c r="J6" s="13" t="s">
        <v>36</v>
      </c>
      <c r="K6" s="13" t="s">
        <v>47</v>
      </c>
      <c r="L6" s="17"/>
    </row>
    <row r="7" spans="1:12" x14ac:dyDescent="0.2">
      <c r="A7" s="14" t="s">
        <v>312</v>
      </c>
      <c r="B7" s="15">
        <v>46028</v>
      </c>
      <c r="C7" s="15" t="s">
        <v>129</v>
      </c>
      <c r="D7" s="15" t="s">
        <v>63</v>
      </c>
      <c r="E7" s="15" t="s">
        <v>43</v>
      </c>
      <c r="F7" s="15" t="s">
        <v>98</v>
      </c>
      <c r="G7" s="15" t="s">
        <v>69</v>
      </c>
      <c r="H7" s="15" t="s">
        <v>71</v>
      </c>
      <c r="I7" s="22">
        <v>12.25</v>
      </c>
      <c r="J7" s="15" t="s">
        <v>44</v>
      </c>
      <c r="K7" s="15" t="s">
        <v>63</v>
      </c>
      <c r="L7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8" customWidth="1"/>
    <col min="4" max="4" width="20" customWidth="1"/>
    <col min="5" max="5" width="18" customWidth="1"/>
  </cols>
  <sheetData>
    <row r="1" spans="1:5" x14ac:dyDescent="0.2">
      <c r="A1" s="7" t="s">
        <v>17</v>
      </c>
      <c r="B1" s="7" t="s">
        <v>151</v>
      </c>
      <c r="C1" s="7" t="s">
        <v>152</v>
      </c>
      <c r="D1" s="7" t="s">
        <v>153</v>
      </c>
      <c r="E1" s="7" t="s">
        <v>154</v>
      </c>
    </row>
    <row r="2" spans="1:5" x14ac:dyDescent="0.2">
      <c r="A2" t="s">
        <v>51</v>
      </c>
      <c r="B2" s="8">
        <v>85000</v>
      </c>
      <c r="C2" s="8">
        <v>920</v>
      </c>
      <c r="D2" s="8">
        <v>72000</v>
      </c>
      <c r="E2" s="8">
        <v>850</v>
      </c>
    </row>
    <row r="3" spans="1:5" x14ac:dyDescent="0.2">
      <c r="A3" t="s">
        <v>47</v>
      </c>
      <c r="B3" s="8">
        <v>72000</v>
      </c>
      <c r="C3" s="8">
        <v>620</v>
      </c>
      <c r="D3" s="8">
        <v>68000</v>
      </c>
      <c r="E3" s="8">
        <v>640</v>
      </c>
    </row>
    <row r="4" spans="1:5" x14ac:dyDescent="0.2">
      <c r="A4" t="s">
        <v>42</v>
      </c>
      <c r="B4" s="8">
        <v>88000</v>
      </c>
      <c r="C4" s="8">
        <v>950</v>
      </c>
      <c r="D4" s="8">
        <v>70000</v>
      </c>
      <c r="E4" s="8">
        <v>780</v>
      </c>
    </row>
    <row r="5" spans="1:5" x14ac:dyDescent="0.2">
      <c r="A5" t="s">
        <v>63</v>
      </c>
      <c r="B5" s="8">
        <v>86000</v>
      </c>
      <c r="C5" s="8">
        <v>1150</v>
      </c>
      <c r="D5" s="8">
        <v>76000</v>
      </c>
      <c r="E5" s="8">
        <v>620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sqref="A1:C6"/>
    </sheetView>
  </sheetViews>
  <sheetFormatPr baseColWidth="10" defaultColWidth="8.83203125" defaultRowHeight="15" x14ac:dyDescent="0.2"/>
  <cols>
    <col min="1" max="1" width="16" customWidth="1"/>
    <col min="2" max="3" width="20" customWidth="1"/>
  </cols>
  <sheetData>
    <row r="1" spans="1:3" x14ac:dyDescent="0.2">
      <c r="A1" s="7" t="s">
        <v>20</v>
      </c>
      <c r="B1" s="7" t="s">
        <v>151</v>
      </c>
      <c r="C1" s="7" t="s">
        <v>153</v>
      </c>
    </row>
    <row r="2" spans="1:3" x14ac:dyDescent="0.2">
      <c r="A2" t="s">
        <v>40</v>
      </c>
      <c r="B2" s="8">
        <v>235000</v>
      </c>
      <c r="C2" s="8">
        <v>205000</v>
      </c>
    </row>
    <row r="3" spans="1:3" x14ac:dyDescent="0.2">
      <c r="A3" t="s">
        <v>29</v>
      </c>
      <c r="B3" s="8">
        <v>52000</v>
      </c>
      <c r="C3" s="8">
        <v>44000</v>
      </c>
    </row>
    <row r="4" spans="1:3" x14ac:dyDescent="0.2">
      <c r="A4" t="s">
        <v>49</v>
      </c>
      <c r="B4" s="8">
        <v>20000</v>
      </c>
      <c r="C4" s="8">
        <v>15000</v>
      </c>
    </row>
    <row r="5" spans="1:3" x14ac:dyDescent="0.2">
      <c r="A5" t="s">
        <v>69</v>
      </c>
      <c r="B5" s="8">
        <v>11000</v>
      </c>
      <c r="C5" s="8">
        <v>10000</v>
      </c>
    </row>
    <row r="6" spans="1:3" x14ac:dyDescent="0.2">
      <c r="A6" t="s">
        <v>87</v>
      </c>
      <c r="B6" s="8">
        <v>13000</v>
      </c>
      <c r="C6" s="8">
        <v>12000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5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14" customWidth="1"/>
  </cols>
  <sheetData>
    <row r="1" spans="1:2" x14ac:dyDescent="0.2">
      <c r="A1" s="7" t="s">
        <v>14</v>
      </c>
      <c r="B1" s="7" t="s">
        <v>155</v>
      </c>
    </row>
    <row r="2" spans="1:2" x14ac:dyDescent="0.2">
      <c r="A2" t="s">
        <v>107</v>
      </c>
      <c r="B2" s="9">
        <v>17.5</v>
      </c>
    </row>
    <row r="3" spans="1:2" x14ac:dyDescent="0.2">
      <c r="A3" t="s">
        <v>139</v>
      </c>
      <c r="B3" s="9">
        <v>15</v>
      </c>
    </row>
    <row r="4" spans="1:2" x14ac:dyDescent="0.2">
      <c r="A4" t="s">
        <v>127</v>
      </c>
      <c r="B4" s="9">
        <v>5</v>
      </c>
    </row>
    <row r="5" spans="1:2" x14ac:dyDescent="0.2">
      <c r="A5" t="s">
        <v>116</v>
      </c>
      <c r="B5" s="9">
        <v>25</v>
      </c>
    </row>
    <row r="6" spans="1:2" x14ac:dyDescent="0.2">
      <c r="A6" t="s">
        <v>148</v>
      </c>
      <c r="B6" s="9">
        <v>5</v>
      </c>
    </row>
    <row r="7" spans="1:2" x14ac:dyDescent="0.2">
      <c r="A7" t="s">
        <v>117</v>
      </c>
      <c r="B7" s="9">
        <v>15</v>
      </c>
    </row>
    <row r="8" spans="1:2" x14ac:dyDescent="0.2">
      <c r="A8" t="s">
        <v>114</v>
      </c>
      <c r="B8" s="9">
        <v>17.5</v>
      </c>
    </row>
    <row r="9" spans="1:2" x14ac:dyDescent="0.2">
      <c r="A9" t="s">
        <v>94</v>
      </c>
      <c r="B9" s="9">
        <v>5</v>
      </c>
    </row>
    <row r="10" spans="1:2" x14ac:dyDescent="0.2">
      <c r="A10" t="s">
        <v>136</v>
      </c>
      <c r="B10" s="9">
        <v>5</v>
      </c>
    </row>
    <row r="11" spans="1:2" x14ac:dyDescent="0.2">
      <c r="A11" t="s">
        <v>147</v>
      </c>
      <c r="B11" s="9">
        <v>5</v>
      </c>
    </row>
    <row r="12" spans="1:2" x14ac:dyDescent="0.2">
      <c r="A12" t="s">
        <v>62</v>
      </c>
      <c r="B12" s="9">
        <v>7.5</v>
      </c>
    </row>
    <row r="13" spans="1:2" x14ac:dyDescent="0.2">
      <c r="A13" t="s">
        <v>124</v>
      </c>
      <c r="B13" s="9">
        <v>7.5</v>
      </c>
    </row>
    <row r="14" spans="1:2" x14ac:dyDescent="0.2">
      <c r="A14" t="s">
        <v>123</v>
      </c>
      <c r="B14" s="9">
        <v>20</v>
      </c>
    </row>
    <row r="15" spans="1:2" x14ac:dyDescent="0.2">
      <c r="A15" t="s">
        <v>134</v>
      </c>
      <c r="B15" s="9">
        <v>10</v>
      </c>
    </row>
    <row r="16" spans="1:2" x14ac:dyDescent="0.2">
      <c r="A16" t="s">
        <v>144</v>
      </c>
      <c r="B16" s="9">
        <v>5</v>
      </c>
    </row>
    <row r="17" spans="1:2" x14ac:dyDescent="0.2">
      <c r="A17" t="s">
        <v>146</v>
      </c>
      <c r="B17" s="9">
        <v>2.5</v>
      </c>
    </row>
    <row r="18" spans="1:2" x14ac:dyDescent="0.2">
      <c r="A18" t="s">
        <v>120</v>
      </c>
      <c r="B18" s="9">
        <v>17.5</v>
      </c>
    </row>
    <row r="19" spans="1:2" x14ac:dyDescent="0.2">
      <c r="A19" t="s">
        <v>45</v>
      </c>
      <c r="B19" s="9">
        <v>12.5</v>
      </c>
    </row>
    <row r="20" spans="1:2" x14ac:dyDescent="0.2">
      <c r="A20" t="s">
        <v>125</v>
      </c>
      <c r="B20" s="9">
        <v>15</v>
      </c>
    </row>
    <row r="21" spans="1:2" x14ac:dyDescent="0.2">
      <c r="A21" t="s">
        <v>119</v>
      </c>
      <c r="B21" s="9">
        <v>5</v>
      </c>
    </row>
    <row r="22" spans="1:2" x14ac:dyDescent="0.2">
      <c r="A22" t="s">
        <v>145</v>
      </c>
      <c r="B22" s="9">
        <v>7.5</v>
      </c>
    </row>
    <row r="23" spans="1:2" x14ac:dyDescent="0.2">
      <c r="A23" t="s">
        <v>142</v>
      </c>
      <c r="B23" s="9">
        <v>5</v>
      </c>
    </row>
    <row r="24" spans="1:2" x14ac:dyDescent="0.2">
      <c r="A24" t="s">
        <v>128</v>
      </c>
      <c r="B24" s="9">
        <v>12.5</v>
      </c>
    </row>
    <row r="25" spans="1:2" x14ac:dyDescent="0.2">
      <c r="A25" t="s">
        <v>101</v>
      </c>
      <c r="B25" s="9">
        <v>22.5</v>
      </c>
    </row>
    <row r="26" spans="1:2" x14ac:dyDescent="0.2">
      <c r="A26" t="s">
        <v>66</v>
      </c>
      <c r="B26" s="9">
        <v>2.5</v>
      </c>
    </row>
    <row r="27" spans="1:2" x14ac:dyDescent="0.2">
      <c r="A27" t="s">
        <v>75</v>
      </c>
      <c r="B27" s="9">
        <v>5</v>
      </c>
    </row>
    <row r="28" spans="1:2" x14ac:dyDescent="0.2">
      <c r="A28" t="s">
        <v>82</v>
      </c>
      <c r="B28" s="9">
        <v>2.5</v>
      </c>
    </row>
    <row r="29" spans="1:2" x14ac:dyDescent="0.2">
      <c r="A29" t="s">
        <v>150</v>
      </c>
      <c r="B29" s="9">
        <v>5</v>
      </c>
    </row>
    <row r="30" spans="1:2" x14ac:dyDescent="0.2">
      <c r="A30" t="s">
        <v>91</v>
      </c>
      <c r="B30" s="9">
        <v>5</v>
      </c>
    </row>
    <row r="31" spans="1:2" x14ac:dyDescent="0.2">
      <c r="A31" t="s">
        <v>118</v>
      </c>
      <c r="B31" s="9">
        <v>5</v>
      </c>
    </row>
    <row r="32" spans="1:2" x14ac:dyDescent="0.2">
      <c r="A32" t="s">
        <v>131</v>
      </c>
      <c r="B32" s="9">
        <v>10</v>
      </c>
    </row>
    <row r="33" spans="1:2" x14ac:dyDescent="0.2">
      <c r="A33" t="s">
        <v>135</v>
      </c>
      <c r="B33" s="9">
        <v>5</v>
      </c>
    </row>
    <row r="34" spans="1:2" x14ac:dyDescent="0.2">
      <c r="A34" t="s">
        <v>140</v>
      </c>
      <c r="B34" s="9">
        <v>2.5</v>
      </c>
    </row>
    <row r="35" spans="1:2" x14ac:dyDescent="0.2">
      <c r="A35" t="s">
        <v>133</v>
      </c>
      <c r="B35" s="9">
        <v>2.5</v>
      </c>
    </row>
    <row r="36" spans="1:2" x14ac:dyDescent="0.2">
      <c r="A36" t="s">
        <v>24</v>
      </c>
      <c r="B36" s="9">
        <v>15</v>
      </c>
    </row>
    <row r="37" spans="1:2" x14ac:dyDescent="0.2">
      <c r="A37" t="s">
        <v>109</v>
      </c>
      <c r="B37" s="9">
        <v>10</v>
      </c>
    </row>
    <row r="38" spans="1:2" x14ac:dyDescent="0.2">
      <c r="A38" t="s">
        <v>156</v>
      </c>
      <c r="B38" s="9">
        <v>10</v>
      </c>
    </row>
    <row r="39" spans="1:2" x14ac:dyDescent="0.2">
      <c r="A39" t="s">
        <v>157</v>
      </c>
      <c r="B39" s="9">
        <v>5</v>
      </c>
    </row>
    <row r="40" spans="1:2" x14ac:dyDescent="0.2">
      <c r="A40" t="s">
        <v>158</v>
      </c>
      <c r="B40" s="9">
        <v>12.5</v>
      </c>
    </row>
    <row r="41" spans="1:2" x14ac:dyDescent="0.2">
      <c r="A41" t="s">
        <v>159</v>
      </c>
      <c r="B41" s="9">
        <v>7.5</v>
      </c>
    </row>
    <row r="42" spans="1:2" x14ac:dyDescent="0.2">
      <c r="A42" t="s">
        <v>160</v>
      </c>
      <c r="B42" s="9">
        <v>22.5</v>
      </c>
    </row>
    <row r="43" spans="1:2" x14ac:dyDescent="0.2">
      <c r="A43" t="s">
        <v>161</v>
      </c>
      <c r="B43" s="9">
        <v>5</v>
      </c>
    </row>
    <row r="44" spans="1:2" x14ac:dyDescent="0.2">
      <c r="A44" t="s">
        <v>162</v>
      </c>
      <c r="B44" s="9">
        <v>15</v>
      </c>
    </row>
    <row r="45" spans="1:2" x14ac:dyDescent="0.2">
      <c r="A45" t="s">
        <v>163</v>
      </c>
      <c r="B45" s="9">
        <v>12.5</v>
      </c>
    </row>
    <row r="46" spans="1:2" x14ac:dyDescent="0.2">
      <c r="A46" t="s">
        <v>164</v>
      </c>
      <c r="B46" s="9">
        <v>12.5</v>
      </c>
    </row>
    <row r="47" spans="1:2" x14ac:dyDescent="0.2">
      <c r="A47" t="s">
        <v>165</v>
      </c>
      <c r="B47" s="9">
        <v>7.5</v>
      </c>
    </row>
    <row r="48" spans="1:2" x14ac:dyDescent="0.2">
      <c r="A48" t="s">
        <v>166</v>
      </c>
      <c r="B48" s="9">
        <v>22.5</v>
      </c>
    </row>
    <row r="49" spans="1:2" x14ac:dyDescent="0.2">
      <c r="A49" t="s">
        <v>167</v>
      </c>
      <c r="B49" s="9">
        <v>5</v>
      </c>
    </row>
    <row r="50" spans="1:2" x14ac:dyDescent="0.2">
      <c r="A50" t="s">
        <v>168</v>
      </c>
      <c r="B50" s="9">
        <v>5</v>
      </c>
    </row>
    <row r="51" spans="1:2" x14ac:dyDescent="0.2">
      <c r="A51" t="s">
        <v>169</v>
      </c>
      <c r="B51" s="9">
        <v>5</v>
      </c>
    </row>
    <row r="52" spans="1:2" x14ac:dyDescent="0.2">
      <c r="A52" t="s">
        <v>170</v>
      </c>
      <c r="B52" s="9">
        <v>15</v>
      </c>
    </row>
    <row r="53" spans="1:2" x14ac:dyDescent="0.2">
      <c r="A53" t="s">
        <v>171</v>
      </c>
      <c r="B53" s="9">
        <v>17.5</v>
      </c>
    </row>
    <row r="54" spans="1:2" x14ac:dyDescent="0.2">
      <c r="A54" t="s">
        <v>172</v>
      </c>
      <c r="B54" s="9">
        <v>7.5</v>
      </c>
    </row>
    <row r="55" spans="1:2" x14ac:dyDescent="0.2">
      <c r="A55" t="s">
        <v>173</v>
      </c>
      <c r="B55" s="9">
        <v>17.5</v>
      </c>
    </row>
    <row r="56" spans="1:2" x14ac:dyDescent="0.2">
      <c r="A56" t="s">
        <v>174</v>
      </c>
      <c r="B56" s="9">
        <v>5</v>
      </c>
    </row>
    <row r="57" spans="1:2" x14ac:dyDescent="0.2">
      <c r="A57" t="s">
        <v>175</v>
      </c>
      <c r="B57" s="9">
        <v>2.5</v>
      </c>
    </row>
    <row r="58" spans="1:2" x14ac:dyDescent="0.2">
      <c r="A58" t="s">
        <v>176</v>
      </c>
      <c r="B58" s="9">
        <v>5</v>
      </c>
    </row>
    <row r="59" spans="1:2" x14ac:dyDescent="0.2">
      <c r="A59" t="s">
        <v>177</v>
      </c>
      <c r="B59" s="9">
        <v>7.5</v>
      </c>
    </row>
    <row r="60" spans="1:2" x14ac:dyDescent="0.2">
      <c r="A60" t="s">
        <v>178</v>
      </c>
      <c r="B60" s="9">
        <v>12.5</v>
      </c>
    </row>
    <row r="61" spans="1:2" x14ac:dyDescent="0.2">
      <c r="A61" t="s">
        <v>179</v>
      </c>
      <c r="B61" s="9">
        <v>12.5</v>
      </c>
    </row>
    <row r="62" spans="1:2" x14ac:dyDescent="0.2">
      <c r="A62" t="s">
        <v>180</v>
      </c>
      <c r="B62" s="9">
        <v>22.5</v>
      </c>
    </row>
    <row r="63" spans="1:2" x14ac:dyDescent="0.2">
      <c r="A63" t="s">
        <v>181</v>
      </c>
      <c r="B63" s="9">
        <v>20</v>
      </c>
    </row>
    <row r="64" spans="1:2" x14ac:dyDescent="0.2">
      <c r="A64" t="s">
        <v>182</v>
      </c>
      <c r="B64" s="9">
        <v>12.5</v>
      </c>
    </row>
    <row r="65" spans="1:2" x14ac:dyDescent="0.2">
      <c r="A65" t="s">
        <v>183</v>
      </c>
      <c r="B65" s="9">
        <v>7.5</v>
      </c>
    </row>
    <row r="66" spans="1:2" x14ac:dyDescent="0.2">
      <c r="A66" t="s">
        <v>184</v>
      </c>
      <c r="B66" s="9">
        <v>15</v>
      </c>
    </row>
    <row r="67" spans="1:2" x14ac:dyDescent="0.2">
      <c r="A67" t="s">
        <v>185</v>
      </c>
      <c r="B67" s="9">
        <v>5</v>
      </c>
    </row>
    <row r="68" spans="1:2" x14ac:dyDescent="0.2">
      <c r="A68" t="s">
        <v>186</v>
      </c>
      <c r="B68" s="9">
        <v>2.5</v>
      </c>
    </row>
    <row r="69" spans="1:2" x14ac:dyDescent="0.2">
      <c r="A69" t="s">
        <v>187</v>
      </c>
      <c r="B69" s="9">
        <v>25</v>
      </c>
    </row>
    <row r="70" spans="1:2" x14ac:dyDescent="0.2">
      <c r="A70" t="s">
        <v>188</v>
      </c>
      <c r="B70" s="9">
        <v>5</v>
      </c>
    </row>
    <row r="71" spans="1:2" x14ac:dyDescent="0.2">
      <c r="A71" t="s">
        <v>189</v>
      </c>
      <c r="B71" s="9">
        <v>20</v>
      </c>
    </row>
    <row r="72" spans="1:2" x14ac:dyDescent="0.2">
      <c r="A72" t="s">
        <v>190</v>
      </c>
      <c r="B72" s="9">
        <v>15</v>
      </c>
    </row>
    <row r="73" spans="1:2" x14ac:dyDescent="0.2">
      <c r="A73" t="s">
        <v>191</v>
      </c>
      <c r="B73" s="9">
        <v>15</v>
      </c>
    </row>
    <row r="74" spans="1:2" x14ac:dyDescent="0.2">
      <c r="A74" t="s">
        <v>192</v>
      </c>
      <c r="B74" s="9">
        <v>7.5</v>
      </c>
    </row>
    <row r="75" spans="1:2" x14ac:dyDescent="0.2">
      <c r="A75" t="s">
        <v>193</v>
      </c>
      <c r="B75" s="9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Brief</vt:lpstr>
      <vt:lpstr>Q1 Sales Export</vt:lpstr>
      <vt:lpstr>Cleaned_data_Q1</vt:lpstr>
      <vt:lpstr>Analysis</vt:lpstr>
      <vt:lpstr>Dashboard</vt:lpstr>
      <vt:lpstr>Customers_With_No_Units</vt:lpstr>
      <vt:lpstr>Regional Budget</vt:lpstr>
      <vt:lpstr>Category Budget</vt:lpstr>
      <vt:lpstr>Approved Discounts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Abbas Raza</cp:lastModifiedBy>
  <dcterms:created xsi:type="dcterms:W3CDTF">2026-08-17T15:00:06Z</dcterms:created>
  <dcterms:modified xsi:type="dcterms:W3CDTF">2026-09-09T18:33:47Z</dcterms:modified>
</cp:coreProperties>
</file>